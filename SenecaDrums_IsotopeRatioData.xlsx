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in\Seneca_Drums\"/>
    </mc:Choice>
  </mc:AlternateContent>
  <xr:revisionPtr revIDLastSave="0" documentId="13_ncr:1_{9B68DA9D-4601-4DFD-9B5A-39D4D9E6E04B}" xr6:coauthVersionLast="47" xr6:coauthVersionMax="47" xr10:uidLastSave="{00000000-0000-0000-0000-000000000000}"/>
  <bookViews>
    <workbookView xWindow="-120" yWindow="-120" windowWidth="21840" windowHeight="13020" activeTab="4" xr2:uid="{485657FA-D191-AF42-8104-14564D83FDEF}"/>
  </bookViews>
  <sheets>
    <sheet name="Oct 6, 2025" sheetId="1" r:id="rId1"/>
    <sheet name="Oct 7, 2025" sheetId="2" r:id="rId2"/>
    <sheet name="Oct 8, 2025" sheetId="4" r:id="rId3"/>
    <sheet name="Oct 9, 2025" sheetId="5" r:id="rId4"/>
    <sheet name="Oct 10, 2025" sheetId="6" r:id="rId5"/>
    <sheet name="Oct 13, 2025" sheetId="7" r:id="rId6"/>
    <sheet name="Oct 14, 2025" sheetId="8" r:id="rId7"/>
    <sheet name="Oct 15, 2025" sheetId="9" r:id="rId8"/>
    <sheet name="Oct 16, 2025" sheetId="10" r:id="rId9"/>
    <sheet name="Oct 17, 2025" sheetId="11" r:id="rId10"/>
    <sheet name="Oct 21, 2025" sheetId="13" r:id="rId11"/>
    <sheet name="Oct 22, 2025" sheetId="14" r:id="rId12"/>
    <sheet name="Oct 23, 2025" sheetId="15" r:id="rId13"/>
    <sheet name="DataComp" sheetId="12" r:id="rId14"/>
    <sheet name="ESFrerun" sheetId="17" r:id="rId15"/>
    <sheet name="TestComp" sheetId="16" r:id="rId16"/>
    <sheet name="HeadSpace Comp" sheetId="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2" l="1"/>
  <c r="C188" i="12"/>
  <c r="C170" i="12"/>
  <c r="C137" i="12"/>
  <c r="F133" i="12"/>
  <c r="D100" i="12"/>
  <c r="C51" i="12"/>
  <c r="C35" i="12"/>
  <c r="C14" i="12"/>
  <c r="C19" i="10"/>
  <c r="C17" i="9"/>
  <c r="C3" i="8"/>
  <c r="F20" i="7"/>
  <c r="D9" i="6"/>
  <c r="L25" i="6"/>
  <c r="O25" i="6" s="1"/>
  <c r="P25" i="6" s="1"/>
  <c r="J25" i="6"/>
  <c r="N32" i="2"/>
  <c r="E31" i="4"/>
  <c r="D31" i="4"/>
  <c r="C31" i="4"/>
  <c r="C27" i="2"/>
  <c r="O32" i="2"/>
  <c r="C11" i="2"/>
  <c r="C15" i="12" l="1"/>
  <c r="Q15" i="12" s="1"/>
  <c r="O32" i="5"/>
  <c r="N32" i="5"/>
  <c r="T23" i="2"/>
  <c r="T17" i="2"/>
  <c r="T18" i="2"/>
  <c r="T22" i="2"/>
  <c r="T13" i="2"/>
  <c r="T21" i="2"/>
  <c r="T27" i="2"/>
  <c r="T20" i="2"/>
  <c r="T25" i="2"/>
  <c r="T26" i="2"/>
  <c r="T6" i="2"/>
  <c r="T11" i="2"/>
  <c r="T7" i="2"/>
  <c r="T5" i="2"/>
  <c r="T8" i="2"/>
  <c r="T9" i="2"/>
  <c r="T14" i="2"/>
  <c r="T15" i="2"/>
  <c r="T24" i="2"/>
  <c r="T16" i="2"/>
  <c r="F28" i="1"/>
  <c r="C14" i="1"/>
  <c r="Q14" i="1" s="1"/>
  <c r="K31" i="1"/>
  <c r="N30" i="1"/>
  <c r="O30" i="1" s="1"/>
  <c r="O31" i="1" s="1"/>
  <c r="O32" i="1" s="1"/>
  <c r="L30" i="1"/>
  <c r="L31" i="1" s="1"/>
  <c r="N31" i="1" l="1"/>
  <c r="N32" i="1" s="1"/>
  <c r="T17" i="5"/>
  <c r="T15" i="5"/>
  <c r="T26" i="5"/>
  <c r="T6" i="5"/>
  <c r="T25" i="5"/>
  <c r="T7" i="5"/>
  <c r="T24" i="5"/>
  <c r="T8" i="5"/>
  <c r="T23" i="5"/>
  <c r="T9" i="5"/>
  <c r="T22" i="5"/>
  <c r="T10" i="5"/>
  <c r="T21" i="5"/>
  <c r="T11" i="5"/>
  <c r="T14" i="5"/>
  <c r="T16" i="5"/>
  <c r="T4" i="5"/>
  <c r="T20" i="5"/>
  <c r="T12" i="5"/>
  <c r="T19" i="5"/>
  <c r="T13" i="5"/>
  <c r="T18" i="5"/>
  <c r="T5" i="5"/>
  <c r="C15" i="1"/>
  <c r="Q15" i="1" s="1"/>
</calcChain>
</file>

<file path=xl/sharedStrings.xml><?xml version="1.0" encoding="utf-8"?>
<sst xmlns="http://schemas.openxmlformats.org/spreadsheetml/2006/main" count="869" uniqueCount="213">
  <si>
    <t>Run</t>
  </si>
  <si>
    <t>Sample</t>
  </si>
  <si>
    <t>Dilution</t>
  </si>
  <si>
    <t>HR.d13C</t>
  </si>
  <si>
    <t>HR.d13C.std</t>
  </si>
  <si>
    <t>HP.d13C</t>
  </si>
  <si>
    <t>HP.d13C.std</t>
  </si>
  <si>
    <t>d13C.CO2</t>
  </si>
  <si>
    <t>d13C.CO2.std</t>
  </si>
  <si>
    <t>HR.CH4</t>
  </si>
  <si>
    <t>HR.CH4.std</t>
  </si>
  <si>
    <t>HP.CH4</t>
  </si>
  <si>
    <t>HP.CH4.std</t>
  </si>
  <si>
    <t>CO2</t>
  </si>
  <si>
    <t>CO2.std</t>
  </si>
  <si>
    <t>ZeroAir</t>
  </si>
  <si>
    <t>BigTank</t>
  </si>
  <si>
    <t>H2O</t>
  </si>
  <si>
    <t>ChemDetect</t>
  </si>
  <si>
    <t>December_in_C</t>
  </si>
  <si>
    <t>December_out_NE</t>
  </si>
  <si>
    <t>December_in_NE</t>
  </si>
  <si>
    <t>December_out_SW</t>
  </si>
  <si>
    <t>December_in_NW</t>
  </si>
  <si>
    <t>December_out_NW</t>
  </si>
  <si>
    <t>Folger_in_NW</t>
  </si>
  <si>
    <t>Folger_out_SW</t>
  </si>
  <si>
    <t>Folger_out_NW</t>
  </si>
  <si>
    <t>Folger_in_NE</t>
  </si>
  <si>
    <t>Folger_out_NE</t>
  </si>
  <si>
    <t>Folger_in_C</t>
  </si>
  <si>
    <t>GenevaHarbor_gas_SurfacePull</t>
  </si>
  <si>
    <t>Kilemutu_out_NW</t>
  </si>
  <si>
    <t>underfilled (no pressure on pull)</t>
  </si>
  <si>
    <t>Kilemutu_in_C</t>
  </si>
  <si>
    <t>Kilemutu_in_NE</t>
  </si>
  <si>
    <t>Kilemutu_in_NW</t>
  </si>
  <si>
    <t>Notes</t>
  </si>
  <si>
    <t>Kilemutu_out_NE</t>
  </si>
  <si>
    <t>Kilemutu_out_SW</t>
  </si>
  <si>
    <t>accidently vac'd sample… blank</t>
  </si>
  <si>
    <t>Yellowstone_out_NW</t>
  </si>
  <si>
    <t>Date</t>
  </si>
  <si>
    <t>Yellowstone_in_NW</t>
  </si>
  <si>
    <t>Yellowstone_in_NE</t>
  </si>
  <si>
    <t>Yellowstone_out_SW</t>
  </si>
  <si>
    <t>Yellowstone_in_C</t>
  </si>
  <si>
    <t>Yellowstone_out_NE</t>
  </si>
  <si>
    <t>HeadSpaceTank_Lab</t>
  </si>
  <si>
    <t>HeadSpaceTank_W</t>
  </si>
  <si>
    <t>Maginus_out_NW</t>
  </si>
  <si>
    <t>Maginus_in_NW</t>
  </si>
  <si>
    <t>Maginus_in_NE</t>
  </si>
  <si>
    <t>Maginus_in_C</t>
  </si>
  <si>
    <t>Maginus_out_SW</t>
  </si>
  <si>
    <t>Maginus_out_NE</t>
  </si>
  <si>
    <t>HeadSpaceTank_Th</t>
  </si>
  <si>
    <t>Should have been ~3 ppm? wTF?!</t>
  </si>
  <si>
    <t>Shackelton_in_NW</t>
  </si>
  <si>
    <t>Shackelton_out_SW</t>
  </si>
  <si>
    <t>Shackelton_out_NE</t>
  </si>
  <si>
    <t>Shackelton_in_C</t>
  </si>
  <si>
    <t>Shackelton_in_NE</t>
  </si>
  <si>
    <t>Shackelton_out_NW</t>
  </si>
  <si>
    <t>HeadSpaceTank_F</t>
  </si>
  <si>
    <t>GenevaHarbor_gas_Trap1</t>
  </si>
  <si>
    <t>CRAZY high methane concentration, need to dilute by a lot.</t>
  </si>
  <si>
    <t>gastrap dilution</t>
  </si>
  <si>
    <t>so first dilution is -20 of 45, then 20 ZA back in. Then 5 ml of that first dilution into 40 mL of ZA</t>
  </si>
  <si>
    <t>2orders of magnitude dilution</t>
  </si>
  <si>
    <t>Ngorongoro_out_NE</t>
  </si>
  <si>
    <t>Ngorongoro_in_NW</t>
  </si>
  <si>
    <t>Ngorongoro_in_C</t>
  </si>
  <si>
    <t>Ngorongoro_in_NE</t>
  </si>
  <si>
    <t>Ngorongoro_out_SW</t>
  </si>
  <si>
    <t>Ngorongoro_out_NW</t>
  </si>
  <si>
    <t>iffy</t>
  </si>
  <si>
    <t>Ngorongoro_in_NW_b</t>
  </si>
  <si>
    <t>Ripley_out_NW</t>
  </si>
  <si>
    <t>Ripley_in_NE</t>
  </si>
  <si>
    <t>Ripley_out_SW</t>
  </si>
  <si>
    <t>Ripley_in_NW</t>
  </si>
  <si>
    <t>Ripley_in_C</t>
  </si>
  <si>
    <t>Ripley_out_NE</t>
  </si>
  <si>
    <t>Ripley_in_S</t>
  </si>
  <si>
    <t>Up_in_NE</t>
  </si>
  <si>
    <t>Up_out_NE</t>
  </si>
  <si>
    <t>Up_out_NW</t>
  </si>
  <si>
    <t>Up_out_SW</t>
  </si>
  <si>
    <t>Up_in_C</t>
  </si>
  <si>
    <t>Up_in_NW</t>
  </si>
  <si>
    <t>Scott_out_NW</t>
  </si>
  <si>
    <t>Scott_out_NE</t>
  </si>
  <si>
    <t>Scott_in_NW</t>
  </si>
  <si>
    <t>Scott_in_C</t>
  </si>
  <si>
    <t>Scott_in_NE</t>
  </si>
  <si>
    <t>Abyssal_in_NE</t>
  </si>
  <si>
    <t>Crazy high, need to dilute. d13CO2 is likely messed up.</t>
  </si>
  <si>
    <t>Abyssal_in_S</t>
  </si>
  <si>
    <t>Abyssal_in_NE_gas</t>
  </si>
  <si>
    <t>Scott_out_SW</t>
  </si>
  <si>
    <t>Lancelot_in_S</t>
  </si>
  <si>
    <t>Lancelot_in_NW</t>
  </si>
  <si>
    <t>Lancelot_in_C</t>
  </si>
  <si>
    <t>Lancelot_out_NW</t>
  </si>
  <si>
    <t>Lancelot_out_NE</t>
  </si>
  <si>
    <t>Lancelot_out_SW</t>
  </si>
  <si>
    <t>DI_blank_Lab</t>
  </si>
  <si>
    <t>Atmosphere_Lab</t>
  </si>
  <si>
    <t>DI_blank_Lab_IffyEvac</t>
  </si>
  <si>
    <t>Could pull a few mL's in a syringe on the "empty" vial. Did not "suck" the syringe plunger in when adding new gas.</t>
  </si>
  <si>
    <t>Oztech_23</t>
  </si>
  <si>
    <t>shoule be -23‰ so checks out</t>
  </si>
  <si>
    <t>1000 ppm… wtf</t>
  </si>
  <si>
    <t>HeadSpaceTank_Lab_test</t>
  </si>
  <si>
    <t>Peter_in_NW</t>
  </si>
  <si>
    <t>Peter_in_NE</t>
  </si>
  <si>
    <t>Peter_in_C</t>
  </si>
  <si>
    <t>Peter_out_SW</t>
  </si>
  <si>
    <t>Peter_out_NW</t>
  </si>
  <si>
    <t>Peter_out_NE</t>
  </si>
  <si>
    <t>DI_blank_Boat</t>
  </si>
  <si>
    <t>Lancelot_out_NE_gas</t>
  </si>
  <si>
    <t>wtf</t>
  </si>
  <si>
    <t>Belhurst_out_NW</t>
  </si>
  <si>
    <t>Belhurst_in_S</t>
  </si>
  <si>
    <t>Belhurst_in_NW</t>
  </si>
  <si>
    <t>Belhurst_out_SW</t>
  </si>
  <si>
    <t>Belhurst_out_SE</t>
  </si>
  <si>
    <t>Belhurst_in_NE</t>
  </si>
  <si>
    <t>BigTom_out_W</t>
  </si>
  <si>
    <t>BigTom_in_NW</t>
  </si>
  <si>
    <t>BigTom_out_N</t>
  </si>
  <si>
    <t>BigTom_out_E</t>
  </si>
  <si>
    <t>BigTom_in_S</t>
  </si>
  <si>
    <t>BigTom_in_E</t>
  </si>
  <si>
    <t>Sample lost to vaccum - early open.</t>
  </si>
  <si>
    <t>messed up vacuum</t>
  </si>
  <si>
    <t>Peacemaker_in_NE</t>
  </si>
  <si>
    <t>Peacemaker_in_NW</t>
  </si>
  <si>
    <t>Peacemaker_in_C</t>
  </si>
  <si>
    <t>Peacemaker_out_W</t>
  </si>
  <si>
    <t>Peacemaker_out_E</t>
  </si>
  <si>
    <t>250 ppm!!</t>
  </si>
  <si>
    <t>Peacemaker_out_N</t>
  </si>
  <si>
    <t>Peacemaker_in_C_gas</t>
  </si>
  <si>
    <t>Belhurst_Atmosphere</t>
  </si>
  <si>
    <t>Drop</t>
  </si>
  <si>
    <t>Y</t>
  </si>
  <si>
    <t>Name</t>
  </si>
  <si>
    <t>Shackleton_in_NW</t>
  </si>
  <si>
    <t>Shackleton_out_SW</t>
  </si>
  <si>
    <t>Shackleton_out_NE</t>
  </si>
  <si>
    <t>Shackleton_in_C</t>
  </si>
  <si>
    <t>Shackleton_in_NE</t>
  </si>
  <si>
    <t>Shackleton_out_NW</t>
  </si>
  <si>
    <t>Kelimutu_out_NW</t>
  </si>
  <si>
    <t>Kelimutu_in_C</t>
  </si>
  <si>
    <t>Kelimutu_in_NE</t>
  </si>
  <si>
    <t>Kelimutu_in_NW</t>
  </si>
  <si>
    <t>Kelimutu_out_NE</t>
  </si>
  <si>
    <t>Kelimutu_out_SW</t>
  </si>
  <si>
    <t>This batch is a rerun of some of ESF's samples</t>
  </si>
  <si>
    <t>EvacVialTest_1</t>
  </si>
  <si>
    <t>EvacVialTest_2</t>
  </si>
  <si>
    <t>EvacVialTest_3</t>
  </si>
  <si>
    <t>EvacVialTest_4</t>
  </si>
  <si>
    <t>EvacVialTest_5</t>
  </si>
  <si>
    <t>EvacVialTest_6</t>
  </si>
  <si>
    <t>Off the scale for CH4</t>
  </si>
  <si>
    <t>evac vial 5</t>
  </si>
  <si>
    <t>pulled 20</t>
  </si>
  <si>
    <t>added 20 zerair</t>
  </si>
  <si>
    <t>added 45 zero air</t>
  </si>
  <si>
    <t>pulled another 20</t>
  </si>
  <si>
    <t>took 5 ml of H35 and diluted into 45 mL of ZeroAir</t>
  </si>
  <si>
    <t>EvacVialTest_7</t>
  </si>
  <si>
    <t>EvacVialTest_8</t>
  </si>
  <si>
    <t>Ripley_in_NE_ESF</t>
  </si>
  <si>
    <t>Peter_in_C_ESF</t>
  </si>
  <si>
    <t>Yellowstone_in_C_ESF</t>
  </si>
  <si>
    <t>Kilemutu_in_NW_ESF</t>
  </si>
  <si>
    <t>Yellowstone_in_NE_ESF</t>
  </si>
  <si>
    <t>Peacemaker_in_C_ESF</t>
  </si>
  <si>
    <t>EvacVialTest_5_rerun</t>
  </si>
  <si>
    <t>added 20 ml ZeroAir</t>
  </si>
  <si>
    <t>pulled 20 ml</t>
  </si>
  <si>
    <t>Threw a chemdetect immediately. WTF is in this vial?!</t>
  </si>
  <si>
    <t>This batch is testing some more vials.</t>
  </si>
  <si>
    <t>Used ZeroAir instead of headspace</t>
  </si>
  <si>
    <t>Residue on inside; Used ZeroAir instead of headspace</t>
  </si>
  <si>
    <t>EvacVialTestZA_9</t>
  </si>
  <si>
    <t>EvacVialTestZA_10</t>
  </si>
  <si>
    <t>EvacVialTestZA_11</t>
  </si>
  <si>
    <t>EvacVialTestZA_12</t>
  </si>
  <si>
    <t>EvacVialTestZA_13</t>
  </si>
  <si>
    <t>EvacVialTestZA_14</t>
  </si>
  <si>
    <t>EvacVialTestZA_15</t>
  </si>
  <si>
    <t>EvacVialTestZA_16</t>
  </si>
  <si>
    <t>Ally Evac;Used ZeroAir instead of headspace</t>
  </si>
  <si>
    <t>EvacVialTestZA_17</t>
  </si>
  <si>
    <t>EvacVialTestZA_18</t>
  </si>
  <si>
    <t>Ally Evac; Used ZeroAir instead of headspace</t>
  </si>
  <si>
    <t>EvacVialTestZA_19</t>
  </si>
  <si>
    <t>EvacVialTestZA_20</t>
  </si>
  <si>
    <t>EvacVialTestZA_21</t>
  </si>
  <si>
    <t>EvacVialTestZA_22</t>
  </si>
  <si>
    <t>EvacVialTestZA_23</t>
  </si>
  <si>
    <t>Small bag; Used ZeroAir instead of headspace</t>
  </si>
  <si>
    <t>EvacVialTestZA_15_rerun</t>
  </si>
  <si>
    <t>Put on evacuation line as normal, then added 45 mL ZA</t>
  </si>
  <si>
    <t>Kelimutu_in_NW_ESF</t>
  </si>
  <si>
    <t>Abyssal_in_NW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</si>
</sst>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14" fontId="0" fillId="0" borderId="0" xfId="0" applyNumberFormat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E36D-F694-DF4D-9F0D-F0DB4165B5FD}">
  <dimension ref="A1:Q32"/>
  <sheetViews>
    <sheetView workbookViewId="0">
      <selection sqref="A1:Q25"/>
    </sheetView>
  </sheetViews>
  <sheetFormatPr defaultColWidth="11" defaultRowHeight="15.75" x14ac:dyDescent="0.25"/>
  <cols>
    <col min="2" max="2" width="17.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</row>
    <row r="2" spans="1:17" x14ac:dyDescent="0.25">
      <c r="A2">
        <v>1</v>
      </c>
      <c r="B2" t="s">
        <v>15</v>
      </c>
    </row>
    <row r="3" spans="1:17" x14ac:dyDescent="0.25">
      <c r="A3">
        <v>2</v>
      </c>
      <c r="B3" t="s">
        <v>16</v>
      </c>
      <c r="D3">
        <v>-42.554000000000002</v>
      </c>
      <c r="E3">
        <v>0.53300000000000003</v>
      </c>
      <c r="H3">
        <v>-43.49</v>
      </c>
      <c r="I3">
        <v>0.48299999999999998</v>
      </c>
      <c r="J3">
        <v>35.283999999999999</v>
      </c>
      <c r="K3">
        <v>4.4999999999999998E-2</v>
      </c>
      <c r="L3">
        <v>33.636000000000003</v>
      </c>
      <c r="N3">
        <v>1796.633</v>
      </c>
      <c r="O3">
        <v>1.173</v>
      </c>
    </row>
    <row r="4" spans="1:17" x14ac:dyDescent="0.25">
      <c r="A4">
        <v>3</v>
      </c>
      <c r="B4" t="s">
        <v>15</v>
      </c>
    </row>
    <row r="5" spans="1:17" x14ac:dyDescent="0.25">
      <c r="A5">
        <v>4</v>
      </c>
      <c r="B5" t="s">
        <v>48</v>
      </c>
      <c r="D5">
        <v>-41.904000000000003</v>
      </c>
      <c r="E5">
        <v>6.5720000000000001</v>
      </c>
      <c r="F5">
        <v>-45.611499999999999</v>
      </c>
      <c r="G5">
        <v>3.496</v>
      </c>
      <c r="H5">
        <v>-40.685000000000002</v>
      </c>
      <c r="I5">
        <v>0.96499999999999997</v>
      </c>
      <c r="J5">
        <v>2.9660000000000002</v>
      </c>
      <c r="K5">
        <v>1.6E-2</v>
      </c>
      <c r="L5">
        <v>2.9849999999999999</v>
      </c>
      <c r="M5">
        <v>2E-3</v>
      </c>
      <c r="N5">
        <v>488.06</v>
      </c>
      <c r="O5">
        <v>0.31900000000000001</v>
      </c>
    </row>
    <row r="6" spans="1:17" x14ac:dyDescent="0.25">
      <c r="A6">
        <v>5</v>
      </c>
      <c r="B6" t="s">
        <v>48</v>
      </c>
      <c r="D6">
        <v>-41.648000000000003</v>
      </c>
      <c r="E6">
        <v>5.9939999999999998</v>
      </c>
      <c r="F6">
        <v>-45.264000000000003</v>
      </c>
      <c r="G6">
        <v>3.4740000000000002</v>
      </c>
      <c r="H6">
        <v>-41.588000000000001</v>
      </c>
      <c r="I6">
        <v>1.014</v>
      </c>
      <c r="J6">
        <v>2.93</v>
      </c>
      <c r="K6">
        <v>3.2000000000000001E-2</v>
      </c>
      <c r="L6">
        <v>2.9470000000000001</v>
      </c>
      <c r="M6">
        <v>3.0000000000000001E-3</v>
      </c>
      <c r="N6">
        <v>476.62799999999999</v>
      </c>
      <c r="O6">
        <v>0.31900000000000001</v>
      </c>
    </row>
    <row r="7" spans="1:17" x14ac:dyDescent="0.25">
      <c r="A7">
        <v>6</v>
      </c>
      <c r="B7" t="s">
        <v>48</v>
      </c>
      <c r="D7">
        <v>-41.063000000000002</v>
      </c>
      <c r="E7">
        <v>6.76</v>
      </c>
      <c r="F7">
        <v>-45.116700000000002</v>
      </c>
      <c r="G7">
        <v>3.1619999999999999</v>
      </c>
      <c r="H7">
        <v>-41.295999999999999</v>
      </c>
      <c r="I7">
        <v>1.028</v>
      </c>
      <c r="J7">
        <v>2.927</v>
      </c>
      <c r="K7">
        <v>1.4999999999999999E-2</v>
      </c>
      <c r="L7">
        <v>2.9449999999999998</v>
      </c>
      <c r="M7">
        <v>3.0000000000000001E-3</v>
      </c>
      <c r="N7">
        <v>476.70699999999999</v>
      </c>
      <c r="O7">
        <v>0.34200000000000003</v>
      </c>
    </row>
    <row r="8" spans="1:17" x14ac:dyDescent="0.25">
      <c r="A8">
        <v>7</v>
      </c>
      <c r="B8" t="s">
        <v>19</v>
      </c>
      <c r="D8">
        <v>-48.668999999999997</v>
      </c>
      <c r="E8">
        <v>6.1310000000000002</v>
      </c>
      <c r="F8">
        <v>-46.234999999999999</v>
      </c>
      <c r="G8">
        <v>3.875</v>
      </c>
      <c r="H8">
        <v>-11.324999999999999</v>
      </c>
      <c r="I8">
        <v>0.55300000000000005</v>
      </c>
      <c r="J8">
        <v>3.1819999999999999</v>
      </c>
      <c r="K8">
        <v>1.4E-2</v>
      </c>
      <c r="L8">
        <v>3.2010000000000001</v>
      </c>
      <c r="M8">
        <v>4.0000000000000001E-3</v>
      </c>
      <c r="N8">
        <v>822.62099999999998</v>
      </c>
      <c r="O8">
        <v>0.61499999999999999</v>
      </c>
    </row>
    <row r="9" spans="1:17" x14ac:dyDescent="0.25">
      <c r="A9">
        <v>8</v>
      </c>
      <c r="B9" t="s">
        <v>20</v>
      </c>
      <c r="D9">
        <v>-49.600999999999999</v>
      </c>
      <c r="E9">
        <v>2.9929999999999999</v>
      </c>
      <c r="F9">
        <v>-47.195</v>
      </c>
      <c r="G9">
        <v>2.1680000000000001</v>
      </c>
      <c r="H9">
        <v>-12.548</v>
      </c>
      <c r="I9">
        <v>0.78200000000000003</v>
      </c>
      <c r="J9">
        <v>6.056</v>
      </c>
      <c r="K9">
        <v>1.4E-2</v>
      </c>
      <c r="L9">
        <v>6.0970000000000004</v>
      </c>
      <c r="M9">
        <v>8.9999999999999993E-3</v>
      </c>
      <c r="N9">
        <v>675.96400000000006</v>
      </c>
      <c r="O9">
        <v>7.5510999999999999</v>
      </c>
    </row>
    <row r="10" spans="1:17" x14ac:dyDescent="0.25">
      <c r="A10">
        <v>9</v>
      </c>
      <c r="B10" t="s">
        <v>21</v>
      </c>
      <c r="D10">
        <v>-46.600999999999999</v>
      </c>
      <c r="E10">
        <v>6.4619999999999997</v>
      </c>
      <c r="F10">
        <v>-46.276000000000003</v>
      </c>
      <c r="G10">
        <v>3.5680000000000001</v>
      </c>
      <c r="H10">
        <v>-10.986000000000001</v>
      </c>
      <c r="I10">
        <v>0.63100000000000001</v>
      </c>
      <c r="J10">
        <v>3.121</v>
      </c>
      <c r="K10">
        <v>1.7000000000000001E-2</v>
      </c>
      <c r="L10">
        <v>3.1579999999999999</v>
      </c>
      <c r="M10">
        <v>4.0000000000000001E-3</v>
      </c>
      <c r="N10">
        <v>816.06399999999996</v>
      </c>
      <c r="O10">
        <v>9.1419999999999995</v>
      </c>
    </row>
    <row r="11" spans="1:17" x14ac:dyDescent="0.25">
      <c r="A11">
        <v>10</v>
      </c>
      <c r="B11" t="s">
        <v>22</v>
      </c>
      <c r="D11">
        <v>-46.523000000000003</v>
      </c>
      <c r="E11">
        <v>6.1070000000000002</v>
      </c>
      <c r="F11">
        <v>-45.533999999999999</v>
      </c>
      <c r="G11">
        <v>4.1040000000000001</v>
      </c>
      <c r="H11">
        <v>-10.773999999999999</v>
      </c>
      <c r="I11">
        <v>0.64600000000000002</v>
      </c>
      <c r="J11">
        <v>3.1549999999999998</v>
      </c>
      <c r="K11">
        <v>1.2999999999999999E-2</v>
      </c>
      <c r="L11">
        <v>3.1869999999999998</v>
      </c>
      <c r="M11">
        <v>4.0000000000000001E-3</v>
      </c>
      <c r="N11">
        <v>848.34199999999998</v>
      </c>
      <c r="O11">
        <v>0.55900000000000005</v>
      </c>
    </row>
    <row r="12" spans="1:17" x14ac:dyDescent="0.25">
      <c r="A12">
        <v>11</v>
      </c>
      <c r="B12" t="s">
        <v>23</v>
      </c>
      <c r="D12">
        <v>-49.314</v>
      </c>
      <c r="E12">
        <v>4.3250000000000002</v>
      </c>
      <c r="F12">
        <v>-44.771999999999998</v>
      </c>
      <c r="G12">
        <v>3.7120000000000002</v>
      </c>
      <c r="H12">
        <v>-11.266999999999999</v>
      </c>
      <c r="I12">
        <v>0.58299999999999996</v>
      </c>
      <c r="J12">
        <v>3.2149999999999999</v>
      </c>
      <c r="K12">
        <v>1.2E-2</v>
      </c>
      <c r="L12">
        <v>3.2370000000000001</v>
      </c>
      <c r="M12">
        <v>4.0000000000000001E-3</v>
      </c>
      <c r="N12">
        <v>976.84299999999996</v>
      </c>
      <c r="O12">
        <v>0.80600000000000005</v>
      </c>
    </row>
    <row r="13" spans="1:17" x14ac:dyDescent="0.25">
      <c r="A13">
        <v>12</v>
      </c>
      <c r="B13" t="s">
        <v>24</v>
      </c>
      <c r="D13">
        <v>-49.87</v>
      </c>
      <c r="E13">
        <v>6.1020000000000003</v>
      </c>
      <c r="F13">
        <v>-47.932000000000002</v>
      </c>
      <c r="G13">
        <v>3.4910000000000001</v>
      </c>
      <c r="H13">
        <v>-10.54</v>
      </c>
      <c r="I13">
        <v>0.65</v>
      </c>
      <c r="J13">
        <v>3.1709999999999998</v>
      </c>
      <c r="K13">
        <v>1.7000000000000001E-2</v>
      </c>
      <c r="L13">
        <v>3.1989999999999998</v>
      </c>
      <c r="M13">
        <v>4.0000000000000001E-3</v>
      </c>
      <c r="N13">
        <v>847.76</v>
      </c>
      <c r="O13">
        <v>0.76200000000000001</v>
      </c>
    </row>
    <row r="14" spans="1:17" x14ac:dyDescent="0.25">
      <c r="A14">
        <v>13</v>
      </c>
      <c r="B14" t="s">
        <v>20</v>
      </c>
      <c r="C14">
        <f>(45-20)/(45-20+20)</f>
        <v>0.55555555555555558</v>
      </c>
      <c r="D14">
        <v>-49.594000000000001</v>
      </c>
      <c r="E14">
        <v>4.6689999999999996</v>
      </c>
      <c r="F14">
        <v>-48.155999999999999</v>
      </c>
      <c r="G14">
        <v>4.1159999999999997</v>
      </c>
      <c r="H14">
        <v>-11.084</v>
      </c>
      <c r="I14">
        <v>1.333</v>
      </c>
      <c r="J14">
        <v>2.9820000000000002</v>
      </c>
      <c r="K14">
        <v>1.4E-2</v>
      </c>
      <c r="L14">
        <v>3.0129999999999999</v>
      </c>
      <c r="M14">
        <v>2E-3</v>
      </c>
      <c r="N14">
        <v>383.69499999999999</v>
      </c>
      <c r="O14">
        <v>0.26800000000000002</v>
      </c>
      <c r="Q14">
        <f>J9*C14</f>
        <v>3.3644444444444446</v>
      </c>
    </row>
    <row r="15" spans="1:17" x14ac:dyDescent="0.25">
      <c r="A15">
        <v>14</v>
      </c>
      <c r="B15" t="s">
        <v>20</v>
      </c>
      <c r="C15">
        <f>((45-20)/(45-20+20))*C14</f>
        <v>0.30864197530864201</v>
      </c>
      <c r="D15">
        <v>-48.211300000000001</v>
      </c>
      <c r="E15">
        <v>10.525</v>
      </c>
      <c r="F15">
        <v>-48.398000000000003</v>
      </c>
      <c r="G15">
        <v>6.6420000000000003</v>
      </c>
      <c r="H15">
        <v>-11.849</v>
      </c>
      <c r="I15">
        <v>1.8140000000000001</v>
      </c>
      <c r="J15">
        <v>1.5569999999999999</v>
      </c>
      <c r="K15">
        <v>1.4999999999999999E-2</v>
      </c>
      <c r="L15">
        <v>1.583</v>
      </c>
      <c r="M15">
        <v>2E-3</v>
      </c>
      <c r="N15">
        <v>2116.2620000000002</v>
      </c>
      <c r="O15">
        <v>0.35099999999999998</v>
      </c>
      <c r="Q15">
        <f>J9*C15</f>
        <v>1.869135802469136</v>
      </c>
    </row>
    <row r="16" spans="1:17" x14ac:dyDescent="0.25">
      <c r="A16">
        <v>15</v>
      </c>
      <c r="B16" t="s">
        <v>15</v>
      </c>
    </row>
    <row r="17" spans="1:15" x14ac:dyDescent="0.25">
      <c r="A17">
        <v>16</v>
      </c>
      <c r="B17" t="s">
        <v>48</v>
      </c>
      <c r="D17">
        <v>-39.923000000000002</v>
      </c>
      <c r="E17">
        <v>7.5380000000000003</v>
      </c>
      <c r="F17">
        <v>-43.898000000000003</v>
      </c>
      <c r="G17">
        <v>4.0369999999999999</v>
      </c>
      <c r="H17">
        <v>-41.405000000000001</v>
      </c>
      <c r="I17">
        <v>0.79500000000000004</v>
      </c>
      <c r="J17">
        <v>2.8109999999999999</v>
      </c>
      <c r="K17">
        <v>1.7999999999999999E-2</v>
      </c>
      <c r="L17">
        <v>2.8279999999999998</v>
      </c>
      <c r="M17">
        <v>3.0000000000000001E-3</v>
      </c>
      <c r="N17">
        <v>459.51299999999998</v>
      </c>
      <c r="O17">
        <v>0.33900000000000002</v>
      </c>
    </row>
    <row r="18" spans="1:15" x14ac:dyDescent="0.25">
      <c r="A18">
        <v>17</v>
      </c>
      <c r="B18" t="s">
        <v>48</v>
      </c>
      <c r="D18">
        <v>-41.662999999999997</v>
      </c>
      <c r="E18">
        <v>5.41</v>
      </c>
      <c r="F18">
        <v>-45.156999999999996</v>
      </c>
      <c r="G18">
        <v>4.149</v>
      </c>
      <c r="H18">
        <v>-41.171999999999997</v>
      </c>
      <c r="I18">
        <v>0.82399999999999995</v>
      </c>
      <c r="J18">
        <v>2.8620000000000001</v>
      </c>
      <c r="K18">
        <v>1.2E-2</v>
      </c>
      <c r="L18">
        <v>2.8780000000000001</v>
      </c>
      <c r="M18">
        <v>4.0000000000000001E-3</v>
      </c>
      <c r="N18">
        <v>469.50400000000002</v>
      </c>
      <c r="O18">
        <v>0.38500000000000001</v>
      </c>
    </row>
    <row r="19" spans="1:15" x14ac:dyDescent="0.25">
      <c r="A19">
        <v>18</v>
      </c>
      <c r="B19" t="s">
        <v>25</v>
      </c>
      <c r="D19">
        <v>-48.716999999999999</v>
      </c>
      <c r="E19">
        <v>5.7489999999999997</v>
      </c>
      <c r="F19">
        <v>-46.72</v>
      </c>
      <c r="G19">
        <v>4.2069999999999999</v>
      </c>
      <c r="H19">
        <v>-11.477</v>
      </c>
      <c r="I19">
        <v>0.56799999999999995</v>
      </c>
      <c r="J19">
        <v>3.08</v>
      </c>
      <c r="K19">
        <v>1.2999999999999999E-2</v>
      </c>
      <c r="L19">
        <v>3.0990000000000002</v>
      </c>
      <c r="M19">
        <v>4.0000000000000001E-3</v>
      </c>
      <c r="N19">
        <v>901.98299999999995</v>
      </c>
      <c r="O19">
        <v>0.67</v>
      </c>
    </row>
    <row r="20" spans="1:15" x14ac:dyDescent="0.25">
      <c r="A20">
        <v>19</v>
      </c>
      <c r="B20" t="s">
        <v>26</v>
      </c>
      <c r="D20">
        <v>-43.38</v>
      </c>
      <c r="E20">
        <v>4.5570000000000004</v>
      </c>
      <c r="F20">
        <v>-41.593000000000004</v>
      </c>
      <c r="G20">
        <v>3.0830000000000002</v>
      </c>
      <c r="H20">
        <v>-10.404999999999999</v>
      </c>
      <c r="I20">
        <v>0.63800000000000001</v>
      </c>
      <c r="J20">
        <v>3.9369999999999998</v>
      </c>
      <c r="K20">
        <v>1.4E-2</v>
      </c>
      <c r="L20">
        <v>3.9729999999999999</v>
      </c>
      <c r="M20">
        <v>5.0000000000000001E-3</v>
      </c>
      <c r="N20">
        <v>830.51099999999997</v>
      </c>
      <c r="O20">
        <v>0.70099999999999996</v>
      </c>
    </row>
    <row r="21" spans="1:15" x14ac:dyDescent="0.25">
      <c r="A21">
        <v>20</v>
      </c>
      <c r="B21" t="s">
        <v>27</v>
      </c>
      <c r="D21">
        <v>-48.962000000000003</v>
      </c>
      <c r="E21">
        <v>4.97</v>
      </c>
      <c r="F21">
        <v>-46.805</v>
      </c>
      <c r="G21">
        <v>3.7</v>
      </c>
      <c r="H21">
        <v>-10.368</v>
      </c>
      <c r="I21">
        <v>0.77800000000000002</v>
      </c>
      <c r="J21">
        <v>3.1175000000000002</v>
      </c>
      <c r="K21">
        <v>1.41E-2</v>
      </c>
      <c r="L21">
        <v>3.2069999999999999</v>
      </c>
      <c r="M21">
        <v>2E-3</v>
      </c>
      <c r="N21">
        <v>799.97</v>
      </c>
      <c r="O21">
        <v>0.40799999999999997</v>
      </c>
    </row>
    <row r="22" spans="1:15" x14ac:dyDescent="0.25">
      <c r="A22">
        <v>21</v>
      </c>
      <c r="B22" t="s">
        <v>28</v>
      </c>
      <c r="D22">
        <v>-47.924999999999997</v>
      </c>
      <c r="E22">
        <v>6.093</v>
      </c>
      <c r="F22">
        <v>-46.652000000000001</v>
      </c>
      <c r="G22">
        <v>3.46</v>
      </c>
      <c r="H22">
        <v>-12.018000000000001</v>
      </c>
      <c r="I22">
        <v>0.61199999999999999</v>
      </c>
      <c r="J22">
        <v>3.0430000000000001</v>
      </c>
      <c r="K22">
        <v>1.2999999999999999E-2</v>
      </c>
      <c r="L22">
        <v>3.0790000000000002</v>
      </c>
      <c r="M22">
        <v>4.0000000000000001E-3</v>
      </c>
      <c r="N22">
        <v>742.44200000000001</v>
      </c>
      <c r="O22">
        <v>0.55700000000000005</v>
      </c>
    </row>
    <row r="23" spans="1:15" x14ac:dyDescent="0.25">
      <c r="A23">
        <v>22</v>
      </c>
      <c r="B23" t="s">
        <v>29</v>
      </c>
      <c r="D23">
        <v>-48.6</v>
      </c>
      <c r="E23">
        <v>4.6100000000000003</v>
      </c>
      <c r="F23">
        <v>-47.212000000000003</v>
      </c>
      <c r="G23">
        <v>3.3260000000000001</v>
      </c>
      <c r="H23">
        <v>-10.635</v>
      </c>
      <c r="I23">
        <v>0.72099999999999997</v>
      </c>
      <c r="J23">
        <v>3.129</v>
      </c>
      <c r="K23">
        <v>1.4999999999999999E-2</v>
      </c>
      <c r="L23">
        <v>3.1158999999999999</v>
      </c>
      <c r="M23">
        <v>3.0000000000000001E-3</v>
      </c>
      <c r="N23">
        <v>853.39499999999998</v>
      </c>
      <c r="O23">
        <v>0.68799999999999994</v>
      </c>
    </row>
    <row r="24" spans="1:15" x14ac:dyDescent="0.25">
      <c r="A24">
        <v>23</v>
      </c>
      <c r="B24" t="s">
        <v>30</v>
      </c>
      <c r="D24">
        <v>-46.363999999999997</v>
      </c>
      <c r="E24">
        <v>6.0960000000000001</v>
      </c>
      <c r="F24">
        <v>-47.167999999999999</v>
      </c>
      <c r="G24">
        <v>3.9340000000000002</v>
      </c>
      <c r="H24">
        <v>-0.47199999999999998</v>
      </c>
      <c r="I24">
        <v>0.67700000000000005</v>
      </c>
      <c r="J24">
        <v>3.1030000000000002</v>
      </c>
      <c r="K24">
        <v>1.2E-2</v>
      </c>
      <c r="L24">
        <v>3.145</v>
      </c>
      <c r="M24">
        <v>3.0000000000000001E-3</v>
      </c>
      <c r="N24">
        <v>819.221</v>
      </c>
      <c r="O24">
        <v>0.49099999999999999</v>
      </c>
    </row>
    <row r="25" spans="1:15" x14ac:dyDescent="0.25">
      <c r="A25">
        <v>24</v>
      </c>
      <c r="B25" t="s">
        <v>31</v>
      </c>
      <c r="D25">
        <v>-56.139000000000003</v>
      </c>
      <c r="E25">
        <v>6.7160000000000002</v>
      </c>
      <c r="F25">
        <v>-51.718000000000004</v>
      </c>
      <c r="G25">
        <v>4.4169999999999998</v>
      </c>
      <c r="H25">
        <v>-8.9700000000000006</v>
      </c>
      <c r="I25">
        <v>0.72799999999999998</v>
      </c>
      <c r="J25">
        <v>2.8740000000000001</v>
      </c>
      <c r="K25">
        <v>1.4E-2</v>
      </c>
      <c r="L25">
        <v>2.8839999999999999</v>
      </c>
      <c r="M25">
        <v>4.0000000000000001E-3</v>
      </c>
      <c r="N25">
        <v>480.96</v>
      </c>
      <c r="O25">
        <v>0.375</v>
      </c>
    </row>
    <row r="26" spans="1:15" x14ac:dyDescent="0.25">
      <c r="A26">
        <v>25</v>
      </c>
    </row>
    <row r="27" spans="1:15" x14ac:dyDescent="0.25">
      <c r="A27">
        <v>26</v>
      </c>
    </row>
    <row r="28" spans="1:15" x14ac:dyDescent="0.25">
      <c r="A28">
        <v>27</v>
      </c>
      <c r="F28">
        <f>((F25*J25)-(-47*2))/(J25-2)</f>
        <v>-62.514338672768893</v>
      </c>
    </row>
    <row r="29" spans="1:15" x14ac:dyDescent="0.25">
      <c r="A29">
        <v>28</v>
      </c>
    </row>
    <row r="30" spans="1:15" x14ac:dyDescent="0.25">
      <c r="A30">
        <v>29</v>
      </c>
      <c r="K30">
        <v>4000</v>
      </c>
      <c r="L30">
        <f>K30/12</f>
        <v>333.33333333333331</v>
      </c>
      <c r="N30">
        <f>12*5</f>
        <v>60</v>
      </c>
      <c r="O30">
        <f>N30/12</f>
        <v>5</v>
      </c>
    </row>
    <row r="31" spans="1:15" x14ac:dyDescent="0.25">
      <c r="K31">
        <f>K30/5</f>
        <v>800</v>
      </c>
      <c r="L31">
        <f>L30/24</f>
        <v>13.888888888888888</v>
      </c>
      <c r="N31">
        <f>N30*8</f>
        <v>480</v>
      </c>
      <c r="O31">
        <f>O30*8</f>
        <v>40</v>
      </c>
    </row>
    <row r="32" spans="1:15" x14ac:dyDescent="0.25">
      <c r="N32">
        <f>N31*5</f>
        <v>2400</v>
      </c>
      <c r="O32">
        <f>O31*5</f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AFE0-60A3-6440-8D1B-0E94C79E8AA5}">
  <dimension ref="A1:T33"/>
  <sheetViews>
    <sheetView workbookViewId="0">
      <selection activeCell="A2" sqref="A2:S27"/>
    </sheetView>
  </sheetViews>
  <sheetFormatPr defaultColWidth="11" defaultRowHeight="15.75" x14ac:dyDescent="0.25"/>
  <cols>
    <col min="2" max="2" width="18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  <c r="S1" t="s">
        <v>42</v>
      </c>
    </row>
    <row r="2" spans="1:20" x14ac:dyDescent="0.25">
      <c r="A2">
        <v>1</v>
      </c>
      <c r="B2" t="s">
        <v>15</v>
      </c>
      <c r="S2" s="3">
        <v>45937</v>
      </c>
    </row>
    <row r="3" spans="1:20" x14ac:dyDescent="0.25">
      <c r="A3">
        <v>2</v>
      </c>
      <c r="B3" t="s">
        <v>16</v>
      </c>
      <c r="D3">
        <v>-42.43</v>
      </c>
      <c r="E3">
        <v>0.55700000000000005</v>
      </c>
      <c r="H3">
        <v>-43.241999999999997</v>
      </c>
      <c r="I3">
        <v>0.621</v>
      </c>
      <c r="J3">
        <v>34.113999999999997</v>
      </c>
      <c r="K3">
        <v>0.04</v>
      </c>
      <c r="L3">
        <v>33.404000000000003</v>
      </c>
      <c r="M3">
        <v>0</v>
      </c>
      <c r="N3">
        <v>1740.194</v>
      </c>
      <c r="O3">
        <v>1.143</v>
      </c>
      <c r="S3" s="3">
        <v>45937</v>
      </c>
    </row>
    <row r="4" spans="1:20" x14ac:dyDescent="0.25">
      <c r="A4">
        <v>3</v>
      </c>
      <c r="B4" t="s">
        <v>48</v>
      </c>
      <c r="D4">
        <v>-40.43</v>
      </c>
      <c r="E4">
        <v>6.4740000000000002</v>
      </c>
      <c r="F4">
        <v>-44.186999999999998</v>
      </c>
      <c r="G4">
        <v>4.3250000000000002</v>
      </c>
      <c r="H4">
        <v>-41.151000000000003</v>
      </c>
      <c r="I4">
        <v>1.0629999999999999</v>
      </c>
      <c r="J4">
        <v>2.871</v>
      </c>
      <c r="K4">
        <v>1.7000000000000001E-2</v>
      </c>
      <c r="L4">
        <v>2.891</v>
      </c>
      <c r="M4">
        <v>5.0000000000000001E-3</v>
      </c>
      <c r="N4">
        <v>487.43299999999999</v>
      </c>
      <c r="O4">
        <v>0.57999999999999996</v>
      </c>
      <c r="S4" s="3">
        <v>45937</v>
      </c>
    </row>
    <row r="5" spans="1:20" x14ac:dyDescent="0.25">
      <c r="A5">
        <v>4</v>
      </c>
      <c r="B5" t="s">
        <v>32</v>
      </c>
      <c r="D5">
        <v>-51.84</v>
      </c>
      <c r="E5">
        <v>5.6609999999999996</v>
      </c>
      <c r="F5">
        <v>-47.305999999999997</v>
      </c>
      <c r="G5">
        <v>3.004</v>
      </c>
      <c r="H5">
        <v>-11.95</v>
      </c>
      <c r="I5">
        <v>0.58699999999999997</v>
      </c>
      <c r="J5">
        <v>3.1419999999999999</v>
      </c>
      <c r="K5">
        <v>1.4999999999999999E-2</v>
      </c>
      <c r="L5">
        <v>3.1680000000000001</v>
      </c>
      <c r="M5">
        <v>5.0000000000000001E-3</v>
      </c>
      <c r="N5">
        <v>751.36699999999996</v>
      </c>
      <c r="O5">
        <v>0.745</v>
      </c>
      <c r="S5" s="3">
        <v>45937</v>
      </c>
      <c r="T5">
        <f>(F5*L5-$N$32*$O$32)/(L5-$O$32)</f>
        <v>-47.305999999999997</v>
      </c>
    </row>
    <row r="6" spans="1:20" x14ac:dyDescent="0.25">
      <c r="A6">
        <v>5</v>
      </c>
      <c r="B6" t="s">
        <v>34</v>
      </c>
      <c r="D6">
        <v>-60.124000000000002</v>
      </c>
      <c r="E6">
        <v>5.7249999999999996</v>
      </c>
      <c r="F6">
        <v>-50.881999999999998</v>
      </c>
      <c r="G6">
        <v>4.4279999999999999</v>
      </c>
      <c r="H6">
        <v>-12.183999999999999</v>
      </c>
      <c r="I6">
        <v>0.94</v>
      </c>
      <c r="J6">
        <v>3.0430000000000001</v>
      </c>
      <c r="K6">
        <v>1.2999999999999999E-2</v>
      </c>
      <c r="L6">
        <v>3.0430000000000001</v>
      </c>
      <c r="M6">
        <v>7.0000000000000001E-3</v>
      </c>
      <c r="N6">
        <v>663.23900000000003</v>
      </c>
      <c r="O6">
        <v>1.0900000000000001</v>
      </c>
      <c r="R6" t="s">
        <v>33</v>
      </c>
      <c r="S6" s="3">
        <v>45937</v>
      </c>
      <c r="T6">
        <f>(F6*L6-$N$32*$O$32)/(L6-$O$32)</f>
        <v>-50.881999999999998</v>
      </c>
    </row>
    <row r="7" spans="1:20" x14ac:dyDescent="0.25">
      <c r="A7">
        <v>6</v>
      </c>
      <c r="B7" t="s">
        <v>35</v>
      </c>
      <c r="D7">
        <v>-58.561</v>
      </c>
      <c r="E7">
        <v>4.6059999999999999</v>
      </c>
      <c r="F7">
        <v>-51.554000000000002</v>
      </c>
      <c r="G7">
        <v>3.4390000000000001</v>
      </c>
      <c r="H7">
        <v>-11.218</v>
      </c>
      <c r="I7">
        <v>0.63</v>
      </c>
      <c r="J7">
        <v>3.286</v>
      </c>
      <c r="K7">
        <v>1.4E-2</v>
      </c>
      <c r="L7">
        <v>3.2970000000000002</v>
      </c>
      <c r="M7">
        <v>4.0000000000000001E-3</v>
      </c>
      <c r="N7">
        <v>785.245</v>
      </c>
      <c r="O7">
        <v>0.65500000000000003</v>
      </c>
      <c r="S7" s="3">
        <v>45937</v>
      </c>
      <c r="T7">
        <f>(F7*L7-$N$32*$O$32)/(L7-$O$32)</f>
        <v>-51.554000000000002</v>
      </c>
    </row>
    <row r="8" spans="1:20" x14ac:dyDescent="0.25">
      <c r="A8">
        <v>7</v>
      </c>
      <c r="B8" t="s">
        <v>36</v>
      </c>
      <c r="D8">
        <v>-68.421999999999997</v>
      </c>
      <c r="E8">
        <v>4.6239999999999997</v>
      </c>
      <c r="F8">
        <v>-58.709000000000003</v>
      </c>
      <c r="G8">
        <v>2.8180000000000001</v>
      </c>
      <c r="H8">
        <v>-12.592000000000001</v>
      </c>
      <c r="I8">
        <v>0.96299999999999997</v>
      </c>
      <c r="J8">
        <v>3.7930000000000001</v>
      </c>
      <c r="K8">
        <v>1.7000000000000001E-2</v>
      </c>
      <c r="L8">
        <v>3.7949999999999999</v>
      </c>
      <c r="M8">
        <v>5.0000000000000001E-3</v>
      </c>
      <c r="N8">
        <v>676.09199999999998</v>
      </c>
      <c r="O8">
        <v>0.51100000000000001</v>
      </c>
      <c r="S8" s="3">
        <v>45937</v>
      </c>
      <c r="T8">
        <f>(F8*L8-$N$32*$O$32)/(L8-$O$32)</f>
        <v>-58.709000000000003</v>
      </c>
    </row>
    <row r="9" spans="1:20" x14ac:dyDescent="0.25">
      <c r="A9">
        <v>8</v>
      </c>
      <c r="B9" t="s">
        <v>38</v>
      </c>
      <c r="D9">
        <v>-64.052000000000007</v>
      </c>
      <c r="E9">
        <v>5.4889999999999999</v>
      </c>
      <c r="F9">
        <v>-53.707999999999998</v>
      </c>
      <c r="G9">
        <v>3.9350000000000001</v>
      </c>
      <c r="H9">
        <v>-12.247999999999999</v>
      </c>
      <c r="I9">
        <v>0.71</v>
      </c>
      <c r="J9">
        <v>3.31</v>
      </c>
      <c r="K9">
        <v>1.6E-2</v>
      </c>
      <c r="L9">
        <v>3.319</v>
      </c>
      <c r="M9">
        <v>3.0000000000000001E-3</v>
      </c>
      <c r="N9">
        <v>699.29700000000003</v>
      </c>
      <c r="O9">
        <v>0.49399999999999999</v>
      </c>
      <c r="S9" s="3">
        <v>45937</v>
      </c>
      <c r="T9">
        <f>(F9*L9-$N$32*$O$32)/(L9-$O$32)</f>
        <v>-53.707999999999998</v>
      </c>
    </row>
    <row r="10" spans="1:20" x14ac:dyDescent="0.25">
      <c r="A10" s="1">
        <v>9</v>
      </c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2" t="s">
        <v>40</v>
      </c>
      <c r="S10" s="3">
        <v>45937</v>
      </c>
    </row>
    <row r="11" spans="1:20" x14ac:dyDescent="0.25">
      <c r="A11">
        <v>10</v>
      </c>
      <c r="B11" t="s">
        <v>39</v>
      </c>
      <c r="C11">
        <f>(45-20)/(45-20+20)</f>
        <v>0.55555555555555558</v>
      </c>
      <c r="D11">
        <v>-53.125</v>
      </c>
      <c r="E11">
        <v>7.7779999999999996</v>
      </c>
      <c r="F11">
        <v>-51.04</v>
      </c>
      <c r="G11">
        <v>5.3179999999999996</v>
      </c>
      <c r="H11">
        <v>-11.744999999999999</v>
      </c>
      <c r="I11">
        <v>0.80800000000000005</v>
      </c>
      <c r="J11">
        <v>2.6709999999999998</v>
      </c>
      <c r="K11">
        <v>1.6E-2</v>
      </c>
      <c r="L11">
        <v>2.702</v>
      </c>
      <c r="M11">
        <v>2E-3</v>
      </c>
      <c r="N11">
        <v>408.596</v>
      </c>
      <c r="O11">
        <v>0.216</v>
      </c>
      <c r="S11" s="3">
        <v>45937</v>
      </c>
      <c r="T11">
        <f>(F11*(L11/C11)-$N$32*$O$32)/((L11/C11)-$O$32)</f>
        <v>-51.04</v>
      </c>
    </row>
    <row r="12" spans="1:20" x14ac:dyDescent="0.25">
      <c r="A12">
        <v>11</v>
      </c>
      <c r="B12" t="s">
        <v>48</v>
      </c>
      <c r="D12">
        <v>-43.143000000000001</v>
      </c>
      <c r="E12">
        <v>6.66</v>
      </c>
      <c r="F12">
        <v>-45.210999999999999</v>
      </c>
      <c r="G12">
        <v>4.6459999999999999</v>
      </c>
      <c r="H12">
        <v>-41.06</v>
      </c>
      <c r="I12">
        <v>1.0569999999999999</v>
      </c>
      <c r="J12">
        <v>2.8</v>
      </c>
      <c r="K12">
        <v>1.4E-2</v>
      </c>
      <c r="L12">
        <v>2.8260000000000001</v>
      </c>
      <c r="M12">
        <v>4.0000000000000001E-3</v>
      </c>
      <c r="N12">
        <v>465.959</v>
      </c>
      <c r="O12">
        <v>0.437</v>
      </c>
      <c r="S12" s="3">
        <v>45937</v>
      </c>
    </row>
    <row r="13" spans="1:20" x14ac:dyDescent="0.25">
      <c r="A13">
        <v>12</v>
      </c>
      <c r="B13" t="s">
        <v>41</v>
      </c>
      <c r="D13">
        <v>-44.362000000000002</v>
      </c>
      <c r="E13">
        <v>6.3040000000000003</v>
      </c>
      <c r="F13">
        <v>-44.588000000000001</v>
      </c>
      <c r="G13">
        <v>4.9210000000000003</v>
      </c>
      <c r="H13">
        <v>-11.271000000000001</v>
      </c>
      <c r="I13">
        <v>0.8</v>
      </c>
      <c r="J13">
        <v>2.8820000000000001</v>
      </c>
      <c r="K13">
        <v>1.4E-2</v>
      </c>
      <c r="L13">
        <v>2.9119999999999999</v>
      </c>
      <c r="M13">
        <v>5.0000000000000001E-3</v>
      </c>
      <c r="N13">
        <v>725.83500000000004</v>
      </c>
      <c r="O13">
        <v>0.752</v>
      </c>
      <c r="S13" s="3">
        <v>45937</v>
      </c>
      <c r="T13">
        <f t="shared" ref="T13:T18" si="0">(F13*L13-$N$32*$O$32)/(L13-$O$32)</f>
        <v>-44.588000000000008</v>
      </c>
    </row>
    <row r="14" spans="1:20" x14ac:dyDescent="0.25">
      <c r="A14">
        <v>13</v>
      </c>
      <c r="B14" t="s">
        <v>43</v>
      </c>
      <c r="D14">
        <v>-48.841000000000001</v>
      </c>
      <c r="E14">
        <v>6.476</v>
      </c>
      <c r="F14">
        <v>-45.673000000000002</v>
      </c>
      <c r="G14">
        <v>4.1429999999999998</v>
      </c>
      <c r="H14">
        <v>-11.563000000000001</v>
      </c>
      <c r="I14">
        <v>0.60299999999999998</v>
      </c>
      <c r="J14">
        <v>3.0590000000000002</v>
      </c>
      <c r="K14">
        <v>1.4999999999999999E-2</v>
      </c>
      <c r="L14">
        <v>3.0840000000000001</v>
      </c>
      <c r="M14">
        <v>5.0000000000000001E-3</v>
      </c>
      <c r="N14">
        <v>865.84900000000005</v>
      </c>
      <c r="O14">
        <v>0.8</v>
      </c>
      <c r="S14" s="3">
        <v>45937</v>
      </c>
      <c r="T14">
        <f t="shared" si="0"/>
        <v>-45.673000000000002</v>
      </c>
    </row>
    <row r="15" spans="1:20" x14ac:dyDescent="0.25">
      <c r="A15">
        <v>14</v>
      </c>
      <c r="B15" t="s">
        <v>44</v>
      </c>
      <c r="D15">
        <v>-44.210999999999999</v>
      </c>
      <c r="E15">
        <v>6.8</v>
      </c>
      <c r="F15">
        <v>-46.029000000000003</v>
      </c>
      <c r="G15">
        <v>3.3849999999999998</v>
      </c>
      <c r="H15">
        <v>-12.005000000000001</v>
      </c>
      <c r="I15">
        <v>0.74299999999999999</v>
      </c>
      <c r="J15">
        <v>2.9710000000000001</v>
      </c>
      <c r="K15">
        <v>1.9E-2</v>
      </c>
      <c r="L15">
        <v>3.01</v>
      </c>
      <c r="M15">
        <v>4.0000000000000001E-3</v>
      </c>
      <c r="N15">
        <v>697.78300000000002</v>
      </c>
      <c r="O15">
        <v>0.68799999999999994</v>
      </c>
      <c r="S15" s="3">
        <v>45937</v>
      </c>
      <c r="T15">
        <f t="shared" si="0"/>
        <v>-46.029000000000003</v>
      </c>
    </row>
    <row r="16" spans="1:20" x14ac:dyDescent="0.25">
      <c r="A16">
        <v>15</v>
      </c>
      <c r="B16" t="s">
        <v>45</v>
      </c>
      <c r="D16">
        <v>-44.311</v>
      </c>
      <c r="E16">
        <v>5.9930000000000003</v>
      </c>
      <c r="F16">
        <v>-44.881</v>
      </c>
      <c r="G16">
        <v>3.5470000000000002</v>
      </c>
      <c r="H16">
        <v>-12.571999999999999</v>
      </c>
      <c r="I16">
        <v>0.61499999999999999</v>
      </c>
      <c r="J16">
        <v>2.9929999999999999</v>
      </c>
      <c r="K16">
        <v>1.2999999999999999E-2</v>
      </c>
      <c r="L16">
        <v>3.032</v>
      </c>
      <c r="M16">
        <v>3.0000000000000001E-3</v>
      </c>
      <c r="N16">
        <v>770.75599999999997</v>
      </c>
      <c r="O16">
        <v>0.47499999999999998</v>
      </c>
      <c r="S16" s="3">
        <v>45937</v>
      </c>
      <c r="T16">
        <f t="shared" si="0"/>
        <v>-44.881</v>
      </c>
    </row>
    <row r="17" spans="1:20" x14ac:dyDescent="0.25">
      <c r="A17">
        <v>16</v>
      </c>
      <c r="B17" t="s">
        <v>46</v>
      </c>
      <c r="D17">
        <v>-45.752000000000002</v>
      </c>
      <c r="E17">
        <v>6.6070000000000002</v>
      </c>
      <c r="F17">
        <v>-45.061999999999998</v>
      </c>
      <c r="G17">
        <v>3.891</v>
      </c>
      <c r="H17">
        <v>-11.414</v>
      </c>
      <c r="I17">
        <v>0.68300000000000005</v>
      </c>
      <c r="J17">
        <v>2.9820000000000002</v>
      </c>
      <c r="K17">
        <v>1.4999999999999999E-2</v>
      </c>
      <c r="L17">
        <v>3.0230000000000001</v>
      </c>
      <c r="M17">
        <v>3.0000000000000001E-3</v>
      </c>
      <c r="N17">
        <v>724.26800000000003</v>
      </c>
      <c r="O17">
        <v>0.51800000000000002</v>
      </c>
      <c r="S17" s="3">
        <v>45937</v>
      </c>
      <c r="T17">
        <f t="shared" si="0"/>
        <v>-45.062000000000005</v>
      </c>
    </row>
    <row r="18" spans="1:20" x14ac:dyDescent="0.25">
      <c r="A18">
        <v>17</v>
      </c>
      <c r="B18" t="s">
        <v>47</v>
      </c>
      <c r="D18">
        <v>-47.371000000000002</v>
      </c>
      <c r="E18">
        <v>5.923</v>
      </c>
      <c r="F18">
        <v>-45.831000000000003</v>
      </c>
      <c r="G18">
        <v>3.8820000000000001</v>
      </c>
      <c r="H18">
        <v>-12.881</v>
      </c>
      <c r="I18">
        <v>0.67900000000000005</v>
      </c>
      <c r="J18">
        <v>3.069</v>
      </c>
      <c r="K18">
        <v>1.4E-2</v>
      </c>
      <c r="L18">
        <v>3.1040000000000001</v>
      </c>
      <c r="M18">
        <v>4.0000000000000001E-3</v>
      </c>
      <c r="N18">
        <v>738.18100000000004</v>
      </c>
      <c r="O18">
        <v>0.66200000000000003</v>
      </c>
      <c r="S18" s="3">
        <v>45937</v>
      </c>
      <c r="T18">
        <f t="shared" si="0"/>
        <v>-45.831000000000003</v>
      </c>
    </row>
    <row r="19" spans="1:20" x14ac:dyDescent="0.25">
      <c r="A19">
        <v>18</v>
      </c>
      <c r="B19" t="s">
        <v>15</v>
      </c>
      <c r="S19" s="3">
        <v>45937</v>
      </c>
    </row>
    <row r="20" spans="1:20" x14ac:dyDescent="0.25">
      <c r="A20">
        <v>19</v>
      </c>
      <c r="B20" t="s">
        <v>49</v>
      </c>
      <c r="D20">
        <v>-46.744999999999997</v>
      </c>
      <c r="E20">
        <v>6.58</v>
      </c>
      <c r="F20">
        <v>-47.305999999999997</v>
      </c>
      <c r="G20">
        <v>5.2279999999999998</v>
      </c>
      <c r="H20">
        <v>-39.651000000000003</v>
      </c>
      <c r="I20">
        <v>1.071</v>
      </c>
      <c r="J20">
        <v>2.7530000000000001</v>
      </c>
      <c r="K20">
        <v>1.9E-2</v>
      </c>
      <c r="L20">
        <v>2.7719999999999998</v>
      </c>
      <c r="M20">
        <v>4.0000000000000001E-3</v>
      </c>
      <c r="N20">
        <v>457.47500000000002</v>
      </c>
      <c r="O20">
        <v>0.40100000000000002</v>
      </c>
      <c r="S20" s="3">
        <v>45937</v>
      </c>
      <c r="T20">
        <f t="shared" ref="T20:T26" si="1">(F20*L20-$N$32*$O$32)/(L20-$O$32)</f>
        <v>-47.305999999999997</v>
      </c>
    </row>
    <row r="21" spans="1:20" x14ac:dyDescent="0.25">
      <c r="A21">
        <v>20</v>
      </c>
      <c r="B21" t="s">
        <v>50</v>
      </c>
      <c r="D21">
        <v>-52.552</v>
      </c>
      <c r="E21">
        <v>2.415</v>
      </c>
      <c r="F21">
        <v>-49.343000000000004</v>
      </c>
      <c r="G21">
        <v>1.5589999999999999</v>
      </c>
      <c r="H21">
        <v>-12.375</v>
      </c>
      <c r="I21">
        <v>0.77500000000000002</v>
      </c>
      <c r="J21">
        <v>7.2930000000000001</v>
      </c>
      <c r="K21">
        <v>2.1000000000000001E-2</v>
      </c>
      <c r="L21">
        <v>7.3339999999999996</v>
      </c>
      <c r="M21">
        <v>0.01</v>
      </c>
      <c r="N21">
        <v>691.34900000000005</v>
      </c>
      <c r="O21">
        <v>0.63200000000000001</v>
      </c>
      <c r="S21" s="3">
        <v>45937</v>
      </c>
      <c r="T21">
        <f t="shared" si="1"/>
        <v>-49.343000000000004</v>
      </c>
    </row>
    <row r="22" spans="1:20" x14ac:dyDescent="0.25">
      <c r="A22">
        <v>21</v>
      </c>
      <c r="B22" t="s">
        <v>51</v>
      </c>
      <c r="D22">
        <v>-44.884999999999998</v>
      </c>
      <c r="E22">
        <v>4.7510000000000003</v>
      </c>
      <c r="F22">
        <v>-45.420999999999999</v>
      </c>
      <c r="G22">
        <v>3.238</v>
      </c>
      <c r="H22">
        <v>-10.846</v>
      </c>
      <c r="I22">
        <v>0.47499999999999998</v>
      </c>
      <c r="J22">
        <v>2.9929999999999999</v>
      </c>
      <c r="K22">
        <v>1.4E-2</v>
      </c>
      <c r="L22">
        <v>3.0259999999999998</v>
      </c>
      <c r="M22">
        <v>4.0000000000000001E-3</v>
      </c>
      <c r="N22">
        <v>981.56299999999999</v>
      </c>
      <c r="O22">
        <v>0.78400000000000003</v>
      </c>
      <c r="S22" s="3">
        <v>45937</v>
      </c>
      <c r="T22">
        <f t="shared" si="1"/>
        <v>-45.420999999999999</v>
      </c>
    </row>
    <row r="23" spans="1:20" x14ac:dyDescent="0.25">
      <c r="A23">
        <v>22</v>
      </c>
      <c r="B23" t="s">
        <v>52</v>
      </c>
      <c r="D23">
        <v>-43.213999999999999</v>
      </c>
      <c r="E23">
        <v>6.2850000000000001</v>
      </c>
      <c r="F23">
        <v>-43.503</v>
      </c>
      <c r="G23">
        <v>3.9740000000000002</v>
      </c>
      <c r="H23">
        <v>-11.532</v>
      </c>
      <c r="I23">
        <v>0.78</v>
      </c>
      <c r="J23">
        <v>3.05</v>
      </c>
      <c r="K23">
        <v>1.6E-2</v>
      </c>
      <c r="L23">
        <v>3.081</v>
      </c>
      <c r="M23">
        <v>5.0000000000000001E-3</v>
      </c>
      <c r="N23">
        <v>647.85599999999999</v>
      </c>
      <c r="O23">
        <v>0.65400000000000003</v>
      </c>
      <c r="S23" s="3">
        <v>45937</v>
      </c>
      <c r="T23">
        <f t="shared" si="1"/>
        <v>-43.503000000000007</v>
      </c>
    </row>
    <row r="24" spans="1:20" x14ac:dyDescent="0.25">
      <c r="A24">
        <v>23</v>
      </c>
      <c r="B24" t="s">
        <v>53</v>
      </c>
      <c r="D24">
        <v>-46.03</v>
      </c>
      <c r="E24">
        <v>7.3659999999999997</v>
      </c>
      <c r="F24">
        <v>-45.878</v>
      </c>
      <c r="G24">
        <v>4.55</v>
      </c>
      <c r="H24">
        <v>-10.721</v>
      </c>
      <c r="I24">
        <v>0.84499999999999997</v>
      </c>
      <c r="J24">
        <v>2.9220000000000002</v>
      </c>
      <c r="K24">
        <v>1.7000000000000001E-2</v>
      </c>
      <c r="L24">
        <v>2.9580000000000002</v>
      </c>
      <c r="M24">
        <v>5.0000000000000001E-3</v>
      </c>
      <c r="N24">
        <v>667.96100000000001</v>
      </c>
      <c r="O24">
        <v>0.78</v>
      </c>
      <c r="S24" s="3">
        <v>45937</v>
      </c>
      <c r="T24">
        <f t="shared" si="1"/>
        <v>-45.878000000000007</v>
      </c>
    </row>
    <row r="25" spans="1:20" x14ac:dyDescent="0.25">
      <c r="A25">
        <v>24</v>
      </c>
      <c r="B25" t="s">
        <v>54</v>
      </c>
      <c r="D25">
        <v>-43.923999999999999</v>
      </c>
      <c r="E25">
        <v>6.1130000000000004</v>
      </c>
      <c r="F25">
        <v>-43.212000000000003</v>
      </c>
      <c r="G25">
        <v>3.617</v>
      </c>
      <c r="H25">
        <v>-11.996</v>
      </c>
      <c r="I25">
        <v>0.94099999999999995</v>
      </c>
      <c r="J25">
        <v>2.94</v>
      </c>
      <c r="K25">
        <v>1.4999999999999999E-2</v>
      </c>
      <c r="L25">
        <v>2.9729999999999999</v>
      </c>
      <c r="M25">
        <v>4.0000000000000001E-3</v>
      </c>
      <c r="N25">
        <v>588.48</v>
      </c>
      <c r="O25">
        <v>0.54800000000000004</v>
      </c>
      <c r="S25" s="3">
        <v>45937</v>
      </c>
      <c r="T25">
        <f t="shared" si="1"/>
        <v>-43.212000000000003</v>
      </c>
    </row>
    <row r="26" spans="1:20" x14ac:dyDescent="0.25">
      <c r="A26">
        <v>25</v>
      </c>
      <c r="B26" t="s">
        <v>55</v>
      </c>
      <c r="D26">
        <v>-45.472000000000001</v>
      </c>
      <c r="E26">
        <v>7.0279999999999996</v>
      </c>
      <c r="F26">
        <v>-45.070999999999998</v>
      </c>
      <c r="G26">
        <v>4.7640000000000002</v>
      </c>
      <c r="H26">
        <v>-11.573</v>
      </c>
      <c r="I26">
        <v>0.627</v>
      </c>
      <c r="J26">
        <v>2.911</v>
      </c>
      <c r="K26">
        <v>1.6E-2</v>
      </c>
      <c r="L26">
        <v>2.9449999999999998</v>
      </c>
      <c r="M26">
        <v>4.0000000000000001E-3</v>
      </c>
      <c r="N26">
        <v>656.35699999999997</v>
      </c>
      <c r="O26">
        <v>0.47899999999999998</v>
      </c>
      <c r="S26" s="3">
        <v>45937</v>
      </c>
      <c r="T26">
        <f t="shared" si="1"/>
        <v>-45.070999999999998</v>
      </c>
    </row>
    <row r="27" spans="1:20" x14ac:dyDescent="0.25">
      <c r="A27">
        <v>26</v>
      </c>
      <c r="B27" t="s">
        <v>50</v>
      </c>
      <c r="C27">
        <f>(45-20)/(45-20+20)</f>
        <v>0.55555555555555558</v>
      </c>
      <c r="D27">
        <v>-52.381999999999998</v>
      </c>
      <c r="E27">
        <v>5.0090000000000003</v>
      </c>
      <c r="F27">
        <v>-49.320999999999998</v>
      </c>
      <c r="G27">
        <v>3.2389999999999999</v>
      </c>
      <c r="H27">
        <v>-11.028</v>
      </c>
      <c r="I27">
        <v>1.2569999999999999</v>
      </c>
      <c r="J27">
        <v>3.9660000000000002</v>
      </c>
      <c r="K27">
        <v>1.4999999999999999E-2</v>
      </c>
      <c r="L27">
        <v>3.9940000000000002</v>
      </c>
      <c r="M27">
        <v>6.0000000000000001E-3</v>
      </c>
      <c r="N27">
        <v>394.52600000000001</v>
      </c>
      <c r="O27">
        <v>0.40200000000000002</v>
      </c>
      <c r="S27" s="3">
        <v>45937</v>
      </c>
      <c r="T27">
        <f>(F27*(L27/C27)-$N$32*$O$32)/((L27/C27)-$O$32)</f>
        <v>-49.320999999999991</v>
      </c>
    </row>
    <row r="28" spans="1:20" x14ac:dyDescent="0.25">
      <c r="A28">
        <v>27</v>
      </c>
    </row>
    <row r="29" spans="1:20" x14ac:dyDescent="0.25">
      <c r="A29">
        <v>28</v>
      </c>
    </row>
    <row r="30" spans="1:20" x14ac:dyDescent="0.25">
      <c r="A30">
        <v>29</v>
      </c>
    </row>
    <row r="31" spans="1:20" x14ac:dyDescent="0.25">
      <c r="A31">
        <v>30</v>
      </c>
    </row>
    <row r="32" spans="1:20" x14ac:dyDescent="0.25">
      <c r="A32">
        <v>31</v>
      </c>
      <c r="N32">
        <f>'HeadSpace Comp'!G41</f>
        <v>0</v>
      </c>
      <c r="O32">
        <f>'HeadSpace Comp'!M41</f>
        <v>0</v>
      </c>
    </row>
    <row r="33" spans="1:15" x14ac:dyDescent="0.25">
      <c r="A33">
        <v>32</v>
      </c>
      <c r="N33">
        <v>-47.305999999999997</v>
      </c>
      <c r="O33">
        <v>2.7719999999999998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D1C3-B4E2-7945-85E4-DF29F991CC36}">
  <dimension ref="A1:T33"/>
  <sheetViews>
    <sheetView workbookViewId="0">
      <selection activeCell="A2" sqref="A2:R16"/>
    </sheetView>
  </sheetViews>
  <sheetFormatPr defaultColWidth="11" defaultRowHeight="15.7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20" x14ac:dyDescent="0.25">
      <c r="A2">
        <v>1</v>
      </c>
      <c r="B2" t="s">
        <v>15</v>
      </c>
    </row>
    <row r="3" spans="1:20" x14ac:dyDescent="0.25">
      <c r="A3">
        <v>2</v>
      </c>
      <c r="B3" t="s">
        <v>16</v>
      </c>
      <c r="D3">
        <v>-42.113999999999997</v>
      </c>
      <c r="E3">
        <v>0.5</v>
      </c>
      <c r="H3">
        <v>-44.094000000000001</v>
      </c>
      <c r="I3">
        <v>0.55500000000000005</v>
      </c>
      <c r="J3">
        <v>35.99</v>
      </c>
      <c r="K3">
        <v>4.5999999999999999E-2</v>
      </c>
      <c r="L3">
        <v>34.383000000000003</v>
      </c>
      <c r="M3">
        <v>0</v>
      </c>
      <c r="N3">
        <v>1775.7950000000001</v>
      </c>
      <c r="O3">
        <v>1.395</v>
      </c>
    </row>
    <row r="4" spans="1:20" x14ac:dyDescent="0.25">
      <c r="A4" s="5">
        <v>3</v>
      </c>
      <c r="B4" s="5" t="s">
        <v>56</v>
      </c>
      <c r="C4" s="5"/>
      <c r="D4" s="5">
        <v>-53.137</v>
      </c>
      <c r="E4" s="5">
        <v>0.33</v>
      </c>
      <c r="F4" s="5"/>
      <c r="G4" s="5"/>
      <c r="H4" s="5">
        <v>-37.619</v>
      </c>
      <c r="I4" s="5">
        <v>1.111</v>
      </c>
      <c r="J4" s="5">
        <v>405.14400000000001</v>
      </c>
      <c r="K4" s="5">
        <v>367</v>
      </c>
      <c r="L4" s="5"/>
      <c r="M4" s="5"/>
      <c r="N4" s="5">
        <v>479.125</v>
      </c>
      <c r="O4" s="5">
        <v>0.32900000000000001</v>
      </c>
      <c r="P4" s="5"/>
      <c r="Q4" s="5"/>
      <c r="R4" s="5" t="s">
        <v>57</v>
      </c>
      <c r="S4" s="5"/>
      <c r="T4" s="5"/>
    </row>
    <row r="5" spans="1:20" x14ac:dyDescent="0.25">
      <c r="A5">
        <v>4</v>
      </c>
      <c r="B5" t="s">
        <v>15</v>
      </c>
    </row>
    <row r="6" spans="1:20" x14ac:dyDescent="0.25">
      <c r="A6">
        <v>5</v>
      </c>
      <c r="B6" t="s">
        <v>56</v>
      </c>
      <c r="D6">
        <v>-51.813000000000002</v>
      </c>
      <c r="E6">
        <v>5.6669999999999998</v>
      </c>
      <c r="F6">
        <v>-50.554000000000002</v>
      </c>
      <c r="G6">
        <v>4.3</v>
      </c>
      <c r="H6">
        <v>-38.731999999999999</v>
      </c>
      <c r="I6">
        <v>0.76700000000000002</v>
      </c>
      <c r="J6">
        <v>2.8113000000000001</v>
      </c>
      <c r="K6">
        <v>1.4999999999999999E-2</v>
      </c>
      <c r="L6">
        <v>2.8239999999999998</v>
      </c>
      <c r="M6">
        <v>5.0000000000000001E-3</v>
      </c>
      <c r="N6">
        <v>476.38600000000002</v>
      </c>
    </row>
    <row r="7" spans="1:20" x14ac:dyDescent="0.25">
      <c r="A7">
        <v>6</v>
      </c>
      <c r="B7" t="s">
        <v>58</v>
      </c>
      <c r="D7">
        <v>-56.512999999999998</v>
      </c>
      <c r="E7">
        <v>5.1580000000000004</v>
      </c>
      <c r="F7">
        <v>-49.125999999999998</v>
      </c>
      <c r="G7">
        <v>3.3210000000000002</v>
      </c>
      <c r="H7">
        <v>-12.736000000000001</v>
      </c>
      <c r="I7">
        <v>0.875</v>
      </c>
      <c r="J7">
        <v>3.286</v>
      </c>
      <c r="K7">
        <v>1.4999999999999999E-2</v>
      </c>
      <c r="L7">
        <v>3.3010999999999999</v>
      </c>
      <c r="M7">
        <v>6.0000000000000001E-3</v>
      </c>
      <c r="N7">
        <v>675.45399999999995</v>
      </c>
    </row>
    <row r="8" spans="1:20" x14ac:dyDescent="0.25">
      <c r="A8">
        <v>7</v>
      </c>
      <c r="B8" t="s">
        <v>59</v>
      </c>
      <c r="D8">
        <v>-41.56</v>
      </c>
      <c r="E8">
        <v>5.6890000000000001</v>
      </c>
      <c r="F8">
        <v>-52.436</v>
      </c>
      <c r="G8">
        <v>4.218</v>
      </c>
      <c r="H8">
        <v>-11.237</v>
      </c>
      <c r="I8">
        <v>0.75600000000000001</v>
      </c>
      <c r="J8">
        <v>3.081</v>
      </c>
      <c r="K8">
        <v>1.4999999999999999E-2</v>
      </c>
      <c r="L8">
        <v>3.1179999999999999</v>
      </c>
      <c r="M8">
        <v>4.0000000000000001E-3</v>
      </c>
      <c r="N8">
        <v>714.80700000000002</v>
      </c>
    </row>
    <row r="9" spans="1:20" x14ac:dyDescent="0.25">
      <c r="A9">
        <v>8</v>
      </c>
      <c r="B9" t="s">
        <v>60</v>
      </c>
      <c r="D9">
        <v>-58.08</v>
      </c>
      <c r="E9">
        <v>5.7290000000000001</v>
      </c>
      <c r="F9">
        <v>-54.122</v>
      </c>
      <c r="G9">
        <v>3.4929999999999999</v>
      </c>
      <c r="H9">
        <v>-13.182</v>
      </c>
      <c r="I9">
        <v>0.86499999999999999</v>
      </c>
      <c r="J9">
        <v>3.83</v>
      </c>
      <c r="K9">
        <v>1.7000000000000001E-2</v>
      </c>
      <c r="L9">
        <v>3.85</v>
      </c>
      <c r="M9">
        <v>6.0000000000000001E-3</v>
      </c>
      <c r="N9">
        <v>669.86400000000003</v>
      </c>
    </row>
    <row r="10" spans="1:20" x14ac:dyDescent="0.25">
      <c r="A10">
        <v>9</v>
      </c>
      <c r="B10" t="s">
        <v>61</v>
      </c>
      <c r="D10">
        <v>-61.610999999999997</v>
      </c>
      <c r="E10">
        <v>5.3339999999999996</v>
      </c>
      <c r="F10">
        <v>-52.127000000000002</v>
      </c>
      <c r="G10">
        <v>3.75</v>
      </c>
      <c r="H10">
        <v>-11.818</v>
      </c>
      <c r="I10">
        <v>0.72399999999999998</v>
      </c>
      <c r="J10">
        <v>3.68</v>
      </c>
      <c r="K10">
        <v>1.4E-2</v>
      </c>
      <c r="L10">
        <v>3.698</v>
      </c>
      <c r="M10">
        <v>6.0000000000000001E-3</v>
      </c>
      <c r="N10">
        <v>731.47299999999996</v>
      </c>
    </row>
    <row r="11" spans="1:20" x14ac:dyDescent="0.25">
      <c r="A11">
        <v>10</v>
      </c>
      <c r="B11" t="s">
        <v>62</v>
      </c>
      <c r="D11">
        <v>-60.927</v>
      </c>
      <c r="E11">
        <v>5.0209999999999999</v>
      </c>
      <c r="F11">
        <v>-49.695</v>
      </c>
      <c r="G11">
        <v>3.8639999999999999</v>
      </c>
      <c r="H11">
        <v>-11.863</v>
      </c>
      <c r="I11">
        <v>0.71499999999999997</v>
      </c>
      <c r="J11">
        <v>3.5270000000000001</v>
      </c>
      <c r="K11">
        <v>1.6E-2</v>
      </c>
      <c r="L11">
        <v>3.5339999999999998</v>
      </c>
      <c r="M11">
        <v>5.0000000000000001E-3</v>
      </c>
      <c r="N11">
        <v>748.178</v>
      </c>
    </row>
    <row r="12" spans="1:20" x14ac:dyDescent="0.25">
      <c r="A12">
        <v>11</v>
      </c>
      <c r="B12" t="s">
        <v>63</v>
      </c>
      <c r="D12">
        <v>-51.862000000000002</v>
      </c>
      <c r="E12">
        <v>4.8739999999999997</v>
      </c>
      <c r="G12">
        <v>3.95</v>
      </c>
      <c r="H12">
        <v>-1.633</v>
      </c>
      <c r="I12">
        <v>0.71099999999999997</v>
      </c>
      <c r="J12">
        <v>3.2669999999999999</v>
      </c>
      <c r="K12">
        <v>1.2999999999999999E-2</v>
      </c>
      <c r="L12">
        <v>3.294</v>
      </c>
      <c r="M12">
        <v>5.0000000000000001E-3</v>
      </c>
      <c r="N12">
        <v>731.90800000000002</v>
      </c>
    </row>
    <row r="13" spans="1:20" x14ac:dyDescent="0.25">
      <c r="A13">
        <v>12</v>
      </c>
      <c r="B13" t="s">
        <v>16</v>
      </c>
      <c r="D13">
        <v>-42.079000000000001</v>
      </c>
      <c r="E13">
        <v>0.48099999999999998</v>
      </c>
      <c r="H13">
        <v>-43.704999999999998</v>
      </c>
      <c r="I13">
        <v>0.56999999999999995</v>
      </c>
      <c r="J13">
        <v>35.844999999999999</v>
      </c>
      <c r="K13">
        <v>3.9E-2</v>
      </c>
      <c r="L13">
        <v>35.229999999999997</v>
      </c>
      <c r="M13">
        <v>0</v>
      </c>
      <c r="N13">
        <v>1819.0160000000001</v>
      </c>
    </row>
    <row r="14" spans="1:20" x14ac:dyDescent="0.25">
      <c r="A14">
        <v>13</v>
      </c>
      <c r="B14" t="s">
        <v>48</v>
      </c>
      <c r="D14">
        <v>-40.259</v>
      </c>
      <c r="E14">
        <v>6.9870000000000001</v>
      </c>
      <c r="F14">
        <v>-44.476999999999997</v>
      </c>
      <c r="G14">
        <v>3.879</v>
      </c>
      <c r="H14">
        <v>-41.323</v>
      </c>
      <c r="I14">
        <v>0.85399999999999998</v>
      </c>
      <c r="J14">
        <v>3.0089999999999999</v>
      </c>
      <c r="K14">
        <v>1.6E-2</v>
      </c>
      <c r="L14">
        <v>3.0289999999999999</v>
      </c>
      <c r="M14">
        <v>4.0000000000000001E-3</v>
      </c>
      <c r="N14">
        <v>481.99</v>
      </c>
    </row>
    <row r="15" spans="1:20" x14ac:dyDescent="0.25">
      <c r="A15">
        <v>14</v>
      </c>
      <c r="B15" t="s">
        <v>64</v>
      </c>
      <c r="D15">
        <v>-42.265000000000001</v>
      </c>
      <c r="E15">
        <v>6.9390000000000001</v>
      </c>
      <c r="F15">
        <v>-44.798000000000002</v>
      </c>
      <c r="G15">
        <v>3.8759999999999999</v>
      </c>
      <c r="H15">
        <v>-39.738999999999997</v>
      </c>
      <c r="I15">
        <v>0.97299999999999998</v>
      </c>
      <c r="J15">
        <v>2.9420000000000002</v>
      </c>
      <c r="K15">
        <v>1.9E-2</v>
      </c>
      <c r="L15">
        <v>2.97</v>
      </c>
      <c r="M15">
        <v>4.0000000000000001E-3</v>
      </c>
      <c r="N15">
        <v>480.58300000000003</v>
      </c>
    </row>
    <row r="16" spans="1:20" x14ac:dyDescent="0.25">
      <c r="A16" s="5">
        <v>15</v>
      </c>
      <c r="B16" s="5" t="s">
        <v>65</v>
      </c>
      <c r="C16" s="5"/>
      <c r="D16" s="5"/>
      <c r="E16" s="5"/>
      <c r="F16" s="5"/>
      <c r="G16" s="5"/>
      <c r="H16" s="5"/>
      <c r="I16" s="5"/>
      <c r="J16" s="5">
        <v>5601</v>
      </c>
      <c r="K16" s="5"/>
      <c r="L16" s="5"/>
      <c r="M16" s="5"/>
      <c r="N16" s="5"/>
      <c r="O16" s="5"/>
      <c r="P16" s="5"/>
      <c r="Q16" s="5"/>
      <c r="R16" s="5" t="s">
        <v>66</v>
      </c>
      <c r="S16" s="5"/>
      <c r="T16" s="5"/>
    </row>
    <row r="17" spans="1:6" x14ac:dyDescent="0.25">
      <c r="A17">
        <v>16</v>
      </c>
    </row>
    <row r="18" spans="1:6" x14ac:dyDescent="0.25">
      <c r="A18">
        <v>17</v>
      </c>
    </row>
    <row r="19" spans="1:6" x14ac:dyDescent="0.25">
      <c r="A19">
        <v>18</v>
      </c>
    </row>
    <row r="20" spans="1:6" x14ac:dyDescent="0.25">
      <c r="A20">
        <v>19</v>
      </c>
    </row>
    <row r="21" spans="1:6" x14ac:dyDescent="0.25">
      <c r="A21">
        <v>20</v>
      </c>
    </row>
    <row r="22" spans="1:6" x14ac:dyDescent="0.25">
      <c r="A22">
        <v>21</v>
      </c>
    </row>
    <row r="23" spans="1:6" x14ac:dyDescent="0.25">
      <c r="A23">
        <v>22</v>
      </c>
    </row>
    <row r="24" spans="1:6" x14ac:dyDescent="0.25">
      <c r="A24">
        <v>23</v>
      </c>
    </row>
    <row r="25" spans="1:6" x14ac:dyDescent="0.25">
      <c r="A25">
        <v>24</v>
      </c>
    </row>
    <row r="26" spans="1:6" x14ac:dyDescent="0.25">
      <c r="A26">
        <v>25</v>
      </c>
    </row>
    <row r="27" spans="1:6" x14ac:dyDescent="0.25">
      <c r="A27">
        <v>26</v>
      </c>
    </row>
    <row r="28" spans="1:6" x14ac:dyDescent="0.25">
      <c r="A28">
        <v>27</v>
      </c>
    </row>
    <row r="30" spans="1:6" x14ac:dyDescent="0.25">
      <c r="C30">
        <v>1</v>
      </c>
    </row>
    <row r="31" spans="1:6" x14ac:dyDescent="0.25">
      <c r="B31" t="s">
        <v>67</v>
      </c>
      <c r="C31">
        <f>(45-20)/(45-20+20)</f>
        <v>0.55555555555555558</v>
      </c>
      <c r="D31">
        <f>5/45</f>
        <v>0.1111111111111111</v>
      </c>
      <c r="E31">
        <f>1*C31*D31</f>
        <v>6.1728395061728392E-2</v>
      </c>
      <c r="F31" t="s">
        <v>69</v>
      </c>
    </row>
    <row r="33" spans="3:3" x14ac:dyDescent="0.25">
      <c r="C3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4976-2653-BB46-AAD0-3EB0FB00E512}">
  <dimension ref="A1:T33"/>
  <sheetViews>
    <sheetView workbookViewId="0">
      <selection activeCell="A2" sqref="A2:R27"/>
    </sheetView>
  </sheetViews>
  <sheetFormatPr defaultColWidth="11" defaultRowHeight="15.75" x14ac:dyDescent="0.25"/>
  <cols>
    <col min="2" max="2" width="18.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20" x14ac:dyDescent="0.25">
      <c r="A2">
        <v>1</v>
      </c>
      <c r="B2" t="s">
        <v>15</v>
      </c>
    </row>
    <row r="3" spans="1:20" x14ac:dyDescent="0.25">
      <c r="A3">
        <v>2</v>
      </c>
      <c r="B3" t="s">
        <v>15</v>
      </c>
    </row>
    <row r="4" spans="1:20" x14ac:dyDescent="0.25">
      <c r="A4">
        <v>3</v>
      </c>
      <c r="B4" t="s">
        <v>48</v>
      </c>
      <c r="D4">
        <v>-41.79</v>
      </c>
      <c r="E4">
        <v>5.65</v>
      </c>
      <c r="F4">
        <v>-44.177999999999997</v>
      </c>
      <c r="G4">
        <v>3.3610000000000002</v>
      </c>
      <c r="H4">
        <v>-41.893000000000001</v>
      </c>
      <c r="I4">
        <v>0.10589999999999999</v>
      </c>
      <c r="J4">
        <v>2.8849999999999998</v>
      </c>
      <c r="K4">
        <v>1.6E-2</v>
      </c>
      <c r="L4">
        <v>2.8980000000000001</v>
      </c>
      <c r="M4">
        <v>4.0000000000000001E-3</v>
      </c>
      <c r="N4">
        <v>470.71</v>
      </c>
      <c r="O4">
        <v>0.36799999999999999</v>
      </c>
      <c r="T4">
        <f>(F4*L4-$N$32*$O$32)/(L4-$O$32)</f>
        <v>-44.17799999999999</v>
      </c>
    </row>
    <row r="5" spans="1:20" x14ac:dyDescent="0.25">
      <c r="A5">
        <v>4</v>
      </c>
      <c r="B5" t="s">
        <v>70</v>
      </c>
      <c r="D5">
        <v>-44.633000000000003</v>
      </c>
      <c r="E5">
        <v>6.0590000000000002</v>
      </c>
      <c r="F5">
        <v>-42.777000000000001</v>
      </c>
      <c r="G5">
        <v>4.3310000000000004</v>
      </c>
      <c r="H5">
        <v>-12.584</v>
      </c>
      <c r="I5">
        <v>0.83399999999999996</v>
      </c>
      <c r="J5">
        <v>3.0609999999999999</v>
      </c>
      <c r="K5">
        <v>1.4E-2</v>
      </c>
      <c r="L5">
        <v>3.0840000000000001</v>
      </c>
      <c r="M5">
        <v>4.0000000000000001E-3</v>
      </c>
      <c r="N5">
        <v>581.44100000000003</v>
      </c>
      <c r="O5">
        <v>0.56999999999999995</v>
      </c>
      <c r="T5">
        <f t="shared" ref="T5:T26" si="0">(F5*L5-$N$32*$O$32)/(L5-$O$32)</f>
        <v>-42.777000000000001</v>
      </c>
    </row>
    <row r="6" spans="1:20" x14ac:dyDescent="0.25">
      <c r="A6">
        <v>5</v>
      </c>
      <c r="B6" t="s">
        <v>71</v>
      </c>
      <c r="D6">
        <v>-53.003</v>
      </c>
      <c r="E6">
        <v>5.625</v>
      </c>
      <c r="F6">
        <v>-46.734000000000002</v>
      </c>
      <c r="G6">
        <v>3.629</v>
      </c>
      <c r="H6">
        <v>-12.702</v>
      </c>
      <c r="I6">
        <v>0.73599999999999999</v>
      </c>
      <c r="J6">
        <v>3.27</v>
      </c>
      <c r="K6">
        <v>1.7999999999999999E-2</v>
      </c>
      <c r="L6">
        <v>3.286</v>
      </c>
      <c r="M6">
        <v>4.0000000000000001E-3</v>
      </c>
      <c r="N6">
        <v>702.11850000000004</v>
      </c>
      <c r="O6">
        <v>0.58099999999999996</v>
      </c>
      <c r="T6">
        <f t="shared" si="0"/>
        <v>-46.734000000000002</v>
      </c>
    </row>
    <row r="7" spans="1:20" x14ac:dyDescent="0.25">
      <c r="A7">
        <v>6</v>
      </c>
      <c r="B7" t="s">
        <v>72</v>
      </c>
      <c r="D7">
        <v>-46.966999999999999</v>
      </c>
      <c r="E7">
        <v>5.0730000000000004</v>
      </c>
      <c r="F7">
        <v>-45.578000000000003</v>
      </c>
      <c r="G7">
        <v>3.2</v>
      </c>
      <c r="H7">
        <v>-11.958</v>
      </c>
      <c r="I7">
        <v>0.69199999999999995</v>
      </c>
      <c r="J7">
        <v>3.048</v>
      </c>
      <c r="K7">
        <v>1.4E-2</v>
      </c>
      <c r="L7">
        <v>3.048</v>
      </c>
      <c r="M7">
        <v>3.0000000000000001E-3</v>
      </c>
      <c r="N7">
        <v>672.02300000000002</v>
      </c>
      <c r="O7">
        <v>0.432</v>
      </c>
      <c r="T7">
        <f t="shared" si="0"/>
        <v>-45.578000000000003</v>
      </c>
    </row>
    <row r="8" spans="1:20" x14ac:dyDescent="0.25">
      <c r="A8">
        <v>7</v>
      </c>
      <c r="B8" t="s">
        <v>73</v>
      </c>
      <c r="D8">
        <v>-53.671999999999997</v>
      </c>
      <c r="E8">
        <v>5.9020000000000001</v>
      </c>
      <c r="F8">
        <v>-47.874000000000002</v>
      </c>
      <c r="G8">
        <v>3.98</v>
      </c>
      <c r="H8">
        <v>-13.012</v>
      </c>
      <c r="I8">
        <v>0.79</v>
      </c>
      <c r="J8">
        <v>3.2370000000000001</v>
      </c>
      <c r="K8">
        <v>1.4E-2</v>
      </c>
      <c r="L8">
        <v>3.2370000000000001</v>
      </c>
      <c r="M8">
        <v>4.0000000000000001E-3</v>
      </c>
      <c r="N8">
        <v>634.42399999999998</v>
      </c>
      <c r="O8">
        <v>0.51200000000000001</v>
      </c>
      <c r="T8">
        <f t="shared" si="0"/>
        <v>-47.874000000000002</v>
      </c>
    </row>
    <row r="9" spans="1:20" x14ac:dyDescent="0.25">
      <c r="A9">
        <v>8</v>
      </c>
      <c r="B9" t="s">
        <v>74</v>
      </c>
      <c r="D9">
        <v>-60.186999999999998</v>
      </c>
      <c r="E9">
        <v>4.2629999999999999</v>
      </c>
      <c r="F9">
        <v>-49.677</v>
      </c>
      <c r="G9">
        <v>2.5630000000000002</v>
      </c>
      <c r="H9">
        <v>-12.27</v>
      </c>
      <c r="I9">
        <v>0.72799999999999998</v>
      </c>
      <c r="J9">
        <v>3.6040000000000001</v>
      </c>
      <c r="K9">
        <v>1.4E-2</v>
      </c>
      <c r="L9">
        <v>3.6120000000000001</v>
      </c>
      <c r="M9">
        <v>3.0000000000000001E-3</v>
      </c>
      <c r="N9">
        <v>769.37800000000004</v>
      </c>
      <c r="O9">
        <v>0.435</v>
      </c>
      <c r="T9">
        <f t="shared" si="0"/>
        <v>-49.677</v>
      </c>
    </row>
    <row r="10" spans="1:20" x14ac:dyDescent="0.25">
      <c r="A10">
        <v>9</v>
      </c>
      <c r="B10" t="s">
        <v>75</v>
      </c>
      <c r="D10">
        <v>-64.046999999999997</v>
      </c>
      <c r="E10">
        <v>4.923</v>
      </c>
      <c r="F10">
        <v>-51.098999999999997</v>
      </c>
      <c r="G10">
        <v>3.5459999999999998</v>
      </c>
      <c r="H10">
        <v>-12.847</v>
      </c>
      <c r="I10">
        <v>0.71899999999999997</v>
      </c>
      <c r="J10">
        <v>3.4169999999999998</v>
      </c>
      <c r="K10">
        <v>1.2999999999999999E-2</v>
      </c>
      <c r="L10">
        <v>3.415</v>
      </c>
      <c r="M10">
        <v>4.0000000000000001E-3</v>
      </c>
      <c r="N10">
        <v>719.39</v>
      </c>
      <c r="O10">
        <v>0.6</v>
      </c>
      <c r="T10">
        <f t="shared" si="0"/>
        <v>-51.098999999999997</v>
      </c>
    </row>
    <row r="11" spans="1:20" x14ac:dyDescent="0.25">
      <c r="A11">
        <v>10</v>
      </c>
      <c r="B11" t="s">
        <v>77</v>
      </c>
      <c r="D11">
        <v>-60.319000000000003</v>
      </c>
      <c r="E11">
        <v>5.2009999999999996</v>
      </c>
      <c r="F11">
        <v>-50.564999999999998</v>
      </c>
      <c r="G11">
        <v>3.7090000000000001</v>
      </c>
      <c r="H11">
        <v>-13.198</v>
      </c>
      <c r="I11">
        <v>0.875</v>
      </c>
      <c r="J11">
        <v>3.4119999999999999</v>
      </c>
      <c r="K11">
        <v>1.2999999999999999E-2</v>
      </c>
      <c r="L11">
        <v>3.42</v>
      </c>
      <c r="M11">
        <v>4.0000000000000001E-3</v>
      </c>
      <c r="N11">
        <v>615.69799999999998</v>
      </c>
      <c r="O11">
        <v>0.46100000000000002</v>
      </c>
      <c r="T11">
        <f t="shared" si="0"/>
        <v>-50.564999999999998</v>
      </c>
    </row>
    <row r="12" spans="1:20" x14ac:dyDescent="0.25">
      <c r="A12">
        <v>11</v>
      </c>
      <c r="B12" t="s">
        <v>49</v>
      </c>
      <c r="D12">
        <v>-47.441000000000003</v>
      </c>
      <c r="E12">
        <v>6.4980000000000002</v>
      </c>
      <c r="F12">
        <v>-45.792000000000002</v>
      </c>
      <c r="G12">
        <v>3.7970000000000002</v>
      </c>
      <c r="H12">
        <v>-38.395000000000003</v>
      </c>
      <c r="I12">
        <v>0.93500000000000005</v>
      </c>
      <c r="J12">
        <v>2.8479999999999999</v>
      </c>
      <c r="K12">
        <v>1.6E-2</v>
      </c>
      <c r="L12">
        <v>2.867</v>
      </c>
      <c r="M12">
        <v>3.0000000000000001E-3</v>
      </c>
      <c r="N12">
        <v>472.54</v>
      </c>
      <c r="O12">
        <v>0.47599999999999998</v>
      </c>
      <c r="T12">
        <f t="shared" si="0"/>
        <v>-45.792000000000002</v>
      </c>
    </row>
    <row r="13" spans="1:20" x14ac:dyDescent="0.25">
      <c r="A13">
        <v>12</v>
      </c>
      <c r="B13" t="s">
        <v>78</v>
      </c>
      <c r="D13">
        <v>-59.356999999999999</v>
      </c>
      <c r="E13">
        <v>4.0380000000000003</v>
      </c>
      <c r="F13">
        <v>-53.32</v>
      </c>
      <c r="G13">
        <v>2.7080000000000002</v>
      </c>
      <c r="H13">
        <v>-14.553000000000001</v>
      </c>
      <c r="I13">
        <v>0.60099999999999998</v>
      </c>
      <c r="J13">
        <v>4.78</v>
      </c>
      <c r="K13">
        <v>1.6E-2</v>
      </c>
      <c r="L13">
        <v>4.7960000000000003</v>
      </c>
      <c r="M13">
        <v>4.0000000000000001E-3</v>
      </c>
      <c r="N13">
        <v>1004.405</v>
      </c>
      <c r="O13">
        <v>0.747</v>
      </c>
      <c r="T13">
        <f t="shared" si="0"/>
        <v>-53.32</v>
      </c>
    </row>
    <row r="14" spans="1:20" x14ac:dyDescent="0.25">
      <c r="A14">
        <v>13</v>
      </c>
      <c r="B14" t="s">
        <v>79</v>
      </c>
      <c r="D14">
        <v>-53.634</v>
      </c>
      <c r="E14">
        <v>5.1440000000000001</v>
      </c>
      <c r="F14">
        <v>-47.715000000000003</v>
      </c>
      <c r="G14">
        <v>2.7629999999999999</v>
      </c>
      <c r="H14">
        <v>-14.734999999999999</v>
      </c>
      <c r="I14">
        <v>0.70599999999999996</v>
      </c>
      <c r="J14">
        <v>3.2269999999999999</v>
      </c>
      <c r="K14">
        <v>1.4E-2</v>
      </c>
      <c r="L14">
        <v>3.2480000000000002</v>
      </c>
      <c r="M14">
        <v>5.0000000000000001E-3</v>
      </c>
      <c r="N14">
        <v>786.17</v>
      </c>
      <c r="O14">
        <v>0.71799999999999997</v>
      </c>
      <c r="T14">
        <f t="shared" si="0"/>
        <v>-47.715000000000003</v>
      </c>
    </row>
    <row r="15" spans="1:20" x14ac:dyDescent="0.25">
      <c r="A15">
        <v>14</v>
      </c>
      <c r="B15" t="s">
        <v>80</v>
      </c>
      <c r="D15">
        <v>-55.463000000000001</v>
      </c>
      <c r="E15">
        <v>5.5330000000000004</v>
      </c>
      <c r="F15">
        <v>-47.613999999999997</v>
      </c>
      <c r="G15">
        <v>3.359</v>
      </c>
      <c r="H15">
        <v>-12.426</v>
      </c>
      <c r="I15">
        <v>0.89800000000000002</v>
      </c>
      <c r="J15">
        <v>3.1859999999999999</v>
      </c>
      <c r="K15">
        <v>1.7000000000000001E-2</v>
      </c>
      <c r="L15">
        <v>3.2069999999999999</v>
      </c>
      <c r="M15">
        <v>2E-3</v>
      </c>
      <c r="N15">
        <v>679.71</v>
      </c>
      <c r="O15">
        <v>0.44</v>
      </c>
      <c r="T15">
        <f t="shared" si="0"/>
        <v>-47.613999999999997</v>
      </c>
    </row>
    <row r="16" spans="1:20" x14ac:dyDescent="0.25">
      <c r="A16">
        <v>15</v>
      </c>
      <c r="B16" t="s">
        <v>81</v>
      </c>
      <c r="D16">
        <v>-58.997999999999998</v>
      </c>
      <c r="E16">
        <v>4.673</v>
      </c>
      <c r="F16">
        <v>-49.777000000000001</v>
      </c>
      <c r="G16">
        <v>3.5390000000000001</v>
      </c>
      <c r="H16">
        <v>-12.18</v>
      </c>
      <c r="I16">
        <v>0.878</v>
      </c>
      <c r="J16">
        <v>3.452</v>
      </c>
      <c r="K16">
        <v>1.4E-2</v>
      </c>
      <c r="L16">
        <v>3.4649999999999999</v>
      </c>
      <c r="M16">
        <v>2E-3</v>
      </c>
      <c r="N16">
        <v>652.78499999999997</v>
      </c>
      <c r="O16">
        <v>0.47899999999999998</v>
      </c>
      <c r="T16">
        <f t="shared" si="0"/>
        <v>-49.777000000000001</v>
      </c>
    </row>
    <row r="17" spans="1:20" x14ac:dyDescent="0.25">
      <c r="A17">
        <v>16</v>
      </c>
      <c r="B17" t="s">
        <v>82</v>
      </c>
      <c r="D17">
        <v>-57.978000000000002</v>
      </c>
      <c r="E17">
        <v>5.8140000000000001</v>
      </c>
      <c r="F17">
        <v>-49.764000000000003</v>
      </c>
      <c r="G17">
        <v>3.262</v>
      </c>
      <c r="H17">
        <v>-11.404</v>
      </c>
      <c r="I17">
        <v>0.71099999999999997</v>
      </c>
      <c r="J17">
        <v>3.3809999999999998</v>
      </c>
      <c r="K17">
        <v>1.6E-2</v>
      </c>
      <c r="L17">
        <v>3.3940000000000001</v>
      </c>
      <c r="M17">
        <v>2E-3</v>
      </c>
      <c r="N17">
        <v>785.34900000000005</v>
      </c>
      <c r="O17">
        <v>0.36199999999999999</v>
      </c>
      <c r="T17">
        <f t="shared" si="0"/>
        <v>-49.764000000000003</v>
      </c>
    </row>
    <row r="18" spans="1:20" x14ac:dyDescent="0.25">
      <c r="A18">
        <v>17</v>
      </c>
      <c r="B18" t="s">
        <v>83</v>
      </c>
      <c r="D18">
        <v>-64.828999999999994</v>
      </c>
      <c r="E18">
        <v>4.2190000000000003</v>
      </c>
      <c r="F18">
        <v>-54.485999999999997</v>
      </c>
      <c r="G18">
        <v>2.9510000000000001</v>
      </c>
      <c r="H18">
        <v>-11.805</v>
      </c>
      <c r="I18">
        <v>0.81799999999999995</v>
      </c>
      <c r="J18">
        <v>4.181</v>
      </c>
      <c r="K18">
        <v>1.4999999999999999E-2</v>
      </c>
      <c r="L18">
        <v>4.1950000000000003</v>
      </c>
      <c r="M18">
        <v>4.0000000000000001E-3</v>
      </c>
      <c r="N18">
        <v>738.01800000000003</v>
      </c>
      <c r="O18">
        <v>0.44600000000000001</v>
      </c>
      <c r="T18">
        <f t="shared" si="0"/>
        <v>-54.485999999999997</v>
      </c>
    </row>
    <row r="19" spans="1:20" x14ac:dyDescent="0.25">
      <c r="A19">
        <v>18</v>
      </c>
      <c r="B19" t="s">
        <v>84</v>
      </c>
      <c r="D19">
        <v>-56.335999999999999</v>
      </c>
      <c r="E19">
        <v>5.2919999999999998</v>
      </c>
      <c r="F19">
        <v>-49.606999999999999</v>
      </c>
      <c r="G19">
        <v>3.056</v>
      </c>
      <c r="H19">
        <v>-11.759</v>
      </c>
      <c r="I19">
        <v>0.69</v>
      </c>
      <c r="J19">
        <v>3.32</v>
      </c>
      <c r="K19">
        <v>1.2999999999999999E-2</v>
      </c>
      <c r="L19">
        <v>3.3439999999999999</v>
      </c>
      <c r="M19">
        <v>2E-3</v>
      </c>
      <c r="N19">
        <v>700.07100000000003</v>
      </c>
      <c r="O19">
        <v>0.379</v>
      </c>
      <c r="T19">
        <f t="shared" si="0"/>
        <v>-49.606999999999999</v>
      </c>
    </row>
    <row r="20" spans="1:20" x14ac:dyDescent="0.25">
      <c r="A20">
        <v>19</v>
      </c>
      <c r="B20" t="s">
        <v>56</v>
      </c>
      <c r="D20">
        <v>-46.54</v>
      </c>
      <c r="E20">
        <v>6.8380000000000001</v>
      </c>
      <c r="F20">
        <v>-46.976999999999997</v>
      </c>
      <c r="G20">
        <v>3.9409999999999998</v>
      </c>
      <c r="H20">
        <v>-36.942999999999998</v>
      </c>
      <c r="I20">
        <v>1.0389999999999999</v>
      </c>
      <c r="J20">
        <v>2.8050000000000002</v>
      </c>
      <c r="K20">
        <v>1.4E-2</v>
      </c>
      <c r="L20">
        <v>2.823</v>
      </c>
      <c r="M20">
        <v>2E-3</v>
      </c>
      <c r="N20">
        <v>489.57900000000001</v>
      </c>
      <c r="O20">
        <v>0.27500000000000002</v>
      </c>
      <c r="T20">
        <f t="shared" si="0"/>
        <v>-46.97699999999999</v>
      </c>
    </row>
    <row r="21" spans="1:20" x14ac:dyDescent="0.25">
      <c r="A21">
        <v>20</v>
      </c>
      <c r="B21" t="s">
        <v>85</v>
      </c>
      <c r="D21">
        <v>-44.475000000000001</v>
      </c>
      <c r="E21">
        <v>4.2789999999999999</v>
      </c>
      <c r="F21">
        <v>-43.865000000000002</v>
      </c>
      <c r="G21">
        <v>3.0390000000000001</v>
      </c>
      <c r="H21">
        <v>-13.086</v>
      </c>
      <c r="I21">
        <v>0.67500000000000004</v>
      </c>
      <c r="J21">
        <v>3.024</v>
      </c>
      <c r="K21">
        <v>1.2999999999999999E-2</v>
      </c>
      <c r="L21">
        <v>3.056</v>
      </c>
      <c r="M21">
        <v>4.0000000000000001E-3</v>
      </c>
      <c r="N21">
        <v>646.77300000000002</v>
      </c>
      <c r="O21">
        <v>0.50600000000000001</v>
      </c>
      <c r="T21">
        <f t="shared" si="0"/>
        <v>-43.865000000000002</v>
      </c>
    </row>
    <row r="22" spans="1:20" x14ac:dyDescent="0.25">
      <c r="A22">
        <v>21</v>
      </c>
      <c r="B22" t="s">
        <v>86</v>
      </c>
      <c r="D22">
        <v>-42.225999999999999</v>
      </c>
      <c r="E22">
        <v>5.1660000000000004</v>
      </c>
      <c r="F22">
        <v>-44.005000000000003</v>
      </c>
      <c r="G22">
        <v>3.1379999999999999</v>
      </c>
      <c r="H22">
        <v>-11.430999999999999</v>
      </c>
      <c r="I22">
        <v>0.57299999999999995</v>
      </c>
      <c r="J22">
        <v>3.1080000000000001</v>
      </c>
      <c r="K22">
        <v>1.2999999999999999E-2</v>
      </c>
      <c r="L22">
        <v>3.1480000000000001</v>
      </c>
      <c r="M22">
        <v>3.0000000000000001E-3</v>
      </c>
      <c r="N22">
        <v>805.51599999999996</v>
      </c>
      <c r="O22">
        <v>0.49199999999999999</v>
      </c>
      <c r="T22">
        <f t="shared" si="0"/>
        <v>-44.005000000000003</v>
      </c>
    </row>
    <row r="23" spans="1:20" x14ac:dyDescent="0.25">
      <c r="A23">
        <v>22</v>
      </c>
      <c r="B23" t="s">
        <v>87</v>
      </c>
      <c r="D23">
        <v>-44.164000000000001</v>
      </c>
      <c r="E23">
        <v>6.6109999999999998</v>
      </c>
      <c r="F23">
        <v>-44.502000000000002</v>
      </c>
      <c r="G23">
        <v>3.8719999999999999</v>
      </c>
      <c r="H23">
        <v>-11.984</v>
      </c>
      <c r="I23">
        <v>0.76700000000000002</v>
      </c>
      <c r="J23">
        <v>3.0659999999999998</v>
      </c>
      <c r="K23">
        <v>1.7999999999999999E-2</v>
      </c>
      <c r="L23">
        <v>3.101</v>
      </c>
      <c r="M23">
        <v>4.0000000000000001E-3</v>
      </c>
      <c r="N23">
        <v>831.01110000000006</v>
      </c>
      <c r="O23">
        <v>0.68400000000000005</v>
      </c>
      <c r="T23">
        <f t="shared" si="0"/>
        <v>-44.50200000000001</v>
      </c>
    </row>
    <row r="24" spans="1:20" x14ac:dyDescent="0.25">
      <c r="A24">
        <v>23</v>
      </c>
      <c r="B24" t="s">
        <v>88</v>
      </c>
      <c r="D24">
        <v>-45.912999999999997</v>
      </c>
      <c r="E24">
        <v>6.0019999999999998</v>
      </c>
      <c r="F24">
        <v>-44.006</v>
      </c>
      <c r="G24">
        <v>3.6920000000000002</v>
      </c>
      <c r="H24">
        <v>-10.734999999999999</v>
      </c>
      <c r="I24">
        <v>0.72599999999999998</v>
      </c>
      <c r="J24">
        <v>3.0329999999999999</v>
      </c>
      <c r="K24">
        <v>1.6E-2</v>
      </c>
      <c r="L24">
        <v>3.0630000000000002</v>
      </c>
      <c r="M24">
        <v>3.0000000000000001E-3</v>
      </c>
      <c r="N24">
        <v>750.34799999999996</v>
      </c>
      <c r="O24">
        <v>0.54800000000000004</v>
      </c>
      <c r="T24">
        <f t="shared" si="0"/>
        <v>-44.006</v>
      </c>
    </row>
    <row r="25" spans="1:20" x14ac:dyDescent="0.25">
      <c r="A25">
        <v>24</v>
      </c>
      <c r="B25" t="s">
        <v>89</v>
      </c>
      <c r="D25">
        <v>-46.134999999999998</v>
      </c>
      <c r="E25">
        <v>4.9450000000000003</v>
      </c>
      <c r="F25">
        <v>-44.658999999999999</v>
      </c>
      <c r="G25">
        <v>3.8260000000000001</v>
      </c>
      <c r="H25">
        <v>-11.122999999999999</v>
      </c>
      <c r="I25">
        <v>0.71099999999999997</v>
      </c>
      <c r="J25">
        <v>3.085</v>
      </c>
      <c r="K25">
        <v>1.6E-2</v>
      </c>
      <c r="L25">
        <v>3.12</v>
      </c>
      <c r="M25">
        <v>3.0000000000000001E-3</v>
      </c>
      <c r="N25">
        <v>778.32299999999998</v>
      </c>
      <c r="O25">
        <v>0.52200000000000002</v>
      </c>
      <c r="T25">
        <f t="shared" si="0"/>
        <v>-44.658999999999999</v>
      </c>
    </row>
    <row r="26" spans="1:20" x14ac:dyDescent="0.25">
      <c r="A26">
        <v>25</v>
      </c>
      <c r="B26" t="s">
        <v>90</v>
      </c>
      <c r="D26">
        <v>-45.723999999999997</v>
      </c>
      <c r="E26">
        <v>5.4219999999999997</v>
      </c>
      <c r="F26">
        <v>-42.582000000000001</v>
      </c>
      <c r="G26">
        <v>3.726</v>
      </c>
      <c r="H26">
        <v>-11.38</v>
      </c>
      <c r="I26">
        <v>0.79200000000000004</v>
      </c>
      <c r="J26">
        <v>3.056</v>
      </c>
      <c r="K26">
        <v>1.4999999999999999E-2</v>
      </c>
      <c r="L26">
        <v>3.0870000000000002</v>
      </c>
      <c r="M26">
        <v>3.0000000000000001E-3</v>
      </c>
      <c r="N26">
        <v>734.38</v>
      </c>
      <c r="O26">
        <v>0.68600000000000005</v>
      </c>
      <c r="T26">
        <f t="shared" si="0"/>
        <v>-42.582000000000001</v>
      </c>
    </row>
    <row r="27" spans="1:20" x14ac:dyDescent="0.25">
      <c r="A27">
        <v>26</v>
      </c>
      <c r="B27" t="s">
        <v>65</v>
      </c>
      <c r="C27">
        <v>6.1728395061728392E-2</v>
      </c>
      <c r="D27">
        <v>-53.408000000000001</v>
      </c>
      <c r="E27">
        <v>0.24199999999999999</v>
      </c>
      <c r="L27">
        <v>69.424000000000007</v>
      </c>
      <c r="M27">
        <v>0</v>
      </c>
      <c r="N27">
        <v>164.03399999999999</v>
      </c>
      <c r="O27">
        <v>0.246</v>
      </c>
    </row>
    <row r="28" spans="1:20" x14ac:dyDescent="0.25">
      <c r="A28">
        <v>27</v>
      </c>
    </row>
    <row r="29" spans="1:20" x14ac:dyDescent="0.25">
      <c r="A29">
        <v>28</v>
      </c>
    </row>
    <row r="32" spans="1:20" x14ac:dyDescent="0.25">
      <c r="N32">
        <f>'HeadSpace Comp'!G41</f>
        <v>0</v>
      </c>
      <c r="O32">
        <f>'HeadSpace Comp'!M41</f>
        <v>0</v>
      </c>
    </row>
    <row r="33" spans="14:15" x14ac:dyDescent="0.25">
      <c r="N33">
        <v>-47.305999999999997</v>
      </c>
      <c r="O33">
        <v>2.7719999999999998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4B88-23AD-D442-A979-35401BB8ECE9}">
  <dimension ref="A1:R25"/>
  <sheetViews>
    <sheetView tabSelected="1" workbookViewId="0">
      <selection activeCell="F14" sqref="F14"/>
    </sheetView>
  </sheetViews>
  <sheetFormatPr defaultColWidth="11" defaultRowHeight="15.75" x14ac:dyDescent="0.25"/>
  <cols>
    <col min="2" max="2" width="17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18" x14ac:dyDescent="0.25">
      <c r="A2">
        <v>1</v>
      </c>
      <c r="B2" t="s">
        <v>15</v>
      </c>
    </row>
    <row r="3" spans="1:18" x14ac:dyDescent="0.25">
      <c r="A3">
        <v>2</v>
      </c>
      <c r="B3" t="s">
        <v>48</v>
      </c>
      <c r="D3">
        <v>-40.274999999999999</v>
      </c>
      <c r="E3">
        <v>5.4059999999999997</v>
      </c>
      <c r="F3">
        <v>-44.648000000000003</v>
      </c>
      <c r="G3">
        <v>4.4420000000000002</v>
      </c>
      <c r="H3">
        <v>-39.695999999999998</v>
      </c>
      <c r="I3">
        <v>1.048</v>
      </c>
      <c r="J3">
        <v>2.8090000000000002</v>
      </c>
      <c r="K3">
        <v>1.2999999999999999E-2</v>
      </c>
      <c r="L3">
        <v>2.8260000000000001</v>
      </c>
      <c r="M3">
        <v>4.0000000000000001E-3</v>
      </c>
      <c r="N3">
        <v>469.43099999999998</v>
      </c>
      <c r="O3">
        <v>0.29899999999999999</v>
      </c>
    </row>
    <row r="4" spans="1:18" x14ac:dyDescent="0.25">
      <c r="A4">
        <v>3</v>
      </c>
      <c r="B4" t="s">
        <v>16</v>
      </c>
      <c r="D4">
        <v>-43.372</v>
      </c>
      <c r="E4">
        <v>0.46800000000000003</v>
      </c>
      <c r="H4">
        <v>-42.762999999999998</v>
      </c>
      <c r="I4">
        <v>0.47399999999999998</v>
      </c>
      <c r="J4">
        <v>36.158000000000001</v>
      </c>
      <c r="K4">
        <v>3.7999999999999999E-2</v>
      </c>
      <c r="L4">
        <v>34.284999999999997</v>
      </c>
      <c r="M4">
        <v>0</v>
      </c>
      <c r="N4">
        <v>1614.2719999999999</v>
      </c>
      <c r="O4">
        <v>1.024</v>
      </c>
    </row>
    <row r="5" spans="1:18" x14ac:dyDescent="0.25">
      <c r="A5">
        <v>4</v>
      </c>
      <c r="B5" t="s">
        <v>15</v>
      </c>
      <c r="D5">
        <v>-52.999000000000002</v>
      </c>
      <c r="E5">
        <v>120.244</v>
      </c>
    </row>
    <row r="6" spans="1:18" x14ac:dyDescent="0.25">
      <c r="A6">
        <v>5</v>
      </c>
      <c r="B6" t="s">
        <v>48</v>
      </c>
      <c r="D6">
        <v>-42.427999999999997</v>
      </c>
      <c r="E6">
        <v>6.3940000000000001</v>
      </c>
      <c r="F6">
        <v>-45.015999999999998</v>
      </c>
      <c r="G6">
        <v>4.4909999999999997</v>
      </c>
      <c r="H6">
        <v>-39.390999999999998</v>
      </c>
      <c r="I6">
        <v>1.1779999999999999</v>
      </c>
      <c r="J6">
        <v>2.8029999999999999</v>
      </c>
      <c r="K6">
        <v>1.2E-2</v>
      </c>
      <c r="L6">
        <v>2.8140000000000001</v>
      </c>
      <c r="M6">
        <v>4.0000000000000001E-3</v>
      </c>
      <c r="N6">
        <v>466.91300000000001</v>
      </c>
      <c r="O6">
        <v>0.41099999999999998</v>
      </c>
    </row>
    <row r="7" spans="1:18" x14ac:dyDescent="0.25">
      <c r="A7">
        <v>6</v>
      </c>
      <c r="B7" t="s">
        <v>91</v>
      </c>
      <c r="D7">
        <v>-49.59</v>
      </c>
      <c r="E7">
        <v>5.468</v>
      </c>
      <c r="F7">
        <v>-47.176000000000002</v>
      </c>
      <c r="G7">
        <v>4.4059999999999997</v>
      </c>
      <c r="H7">
        <v>-11.599</v>
      </c>
      <c r="I7">
        <v>0.53600000000000003</v>
      </c>
      <c r="J7">
        <v>3.097</v>
      </c>
      <c r="K7">
        <v>1.2E-2</v>
      </c>
      <c r="L7">
        <v>3.12</v>
      </c>
      <c r="M7">
        <v>4.0000000000000001E-3</v>
      </c>
      <c r="N7">
        <v>650.69000000000005</v>
      </c>
      <c r="O7">
        <v>0.48699999999999999</v>
      </c>
    </row>
    <row r="8" spans="1:18" x14ac:dyDescent="0.25">
      <c r="A8">
        <v>7</v>
      </c>
      <c r="B8" t="s">
        <v>92</v>
      </c>
      <c r="D8">
        <v>-47.347000000000001</v>
      </c>
      <c r="E8">
        <v>5.508</v>
      </c>
      <c r="F8">
        <v>-45.518000000000001</v>
      </c>
      <c r="G8">
        <v>3.7949999999999999</v>
      </c>
      <c r="H8">
        <v>-15.34</v>
      </c>
      <c r="I8">
        <v>0.873</v>
      </c>
      <c r="J8">
        <v>3.02</v>
      </c>
      <c r="K8">
        <v>1.4999999999999999E-2</v>
      </c>
      <c r="L8">
        <v>3.0470000000000002</v>
      </c>
      <c r="M8">
        <v>2E-3</v>
      </c>
      <c r="N8">
        <v>683.52200000000005</v>
      </c>
      <c r="O8">
        <v>0.29799999999999999</v>
      </c>
    </row>
    <row r="9" spans="1:18" x14ac:dyDescent="0.25">
      <c r="A9">
        <v>8</v>
      </c>
      <c r="B9" t="s">
        <v>93</v>
      </c>
      <c r="D9">
        <f>-47.476</f>
        <v>-47.475999999999999</v>
      </c>
      <c r="E9">
        <v>5.9610000000000003</v>
      </c>
      <c r="F9">
        <v>-45.295999999999999</v>
      </c>
      <c r="G9">
        <v>4.0510000000000002</v>
      </c>
      <c r="H9">
        <v>-11.087</v>
      </c>
      <c r="I9">
        <v>0.78900000000000003</v>
      </c>
      <c r="J9">
        <v>3.0489999999999999</v>
      </c>
      <c r="K9">
        <v>1.2999999999999999E-2</v>
      </c>
      <c r="L9">
        <v>3.0830000000000002</v>
      </c>
      <c r="M9">
        <v>2E-3</v>
      </c>
      <c r="N9">
        <v>663.23800000000006</v>
      </c>
      <c r="O9">
        <v>0.29499999999999998</v>
      </c>
    </row>
    <row r="10" spans="1:18" x14ac:dyDescent="0.25">
      <c r="A10">
        <v>9</v>
      </c>
      <c r="B10" t="s">
        <v>94</v>
      </c>
      <c r="D10">
        <v>-49.03</v>
      </c>
      <c r="E10">
        <v>6.39</v>
      </c>
      <c r="F10">
        <v>-45.192</v>
      </c>
      <c r="G10">
        <v>3.617</v>
      </c>
      <c r="H10">
        <v>-12.352</v>
      </c>
      <c r="I10">
        <v>0.73599999999999999</v>
      </c>
      <c r="J10">
        <v>3.1509999999999998</v>
      </c>
      <c r="K10">
        <v>1.4999999999999999E-2</v>
      </c>
      <c r="L10">
        <v>3.18</v>
      </c>
      <c r="M10">
        <v>2E-3</v>
      </c>
      <c r="N10">
        <v>626.56100000000004</v>
      </c>
      <c r="O10">
        <v>0.27600000000000002</v>
      </c>
    </row>
    <row r="11" spans="1:18" x14ac:dyDescent="0.25">
      <c r="A11">
        <v>10</v>
      </c>
      <c r="B11" t="s">
        <v>95</v>
      </c>
      <c r="D11">
        <v>-47.012999999999998</v>
      </c>
      <c r="E11">
        <v>4.5570000000000004</v>
      </c>
      <c r="F11">
        <v>-44.972999999999999</v>
      </c>
      <c r="G11">
        <v>3.4950000000000001</v>
      </c>
      <c r="H11">
        <v>-10.962</v>
      </c>
      <c r="I11">
        <v>0.74299999999999999</v>
      </c>
      <c r="J11">
        <v>3.202</v>
      </c>
      <c r="K11">
        <v>1.6E-2</v>
      </c>
      <c r="L11">
        <v>3.2330000000000001</v>
      </c>
      <c r="M11">
        <v>2E-3</v>
      </c>
      <c r="N11">
        <v>662.37699999999995</v>
      </c>
      <c r="O11">
        <v>0.38300000000000001</v>
      </c>
    </row>
    <row r="12" spans="1:18" x14ac:dyDescent="0.25">
      <c r="A12">
        <v>11</v>
      </c>
      <c r="B12" t="s">
        <v>100</v>
      </c>
      <c r="D12">
        <v>-39.198999999999998</v>
      </c>
      <c r="E12">
        <v>6.6070000000000002</v>
      </c>
      <c r="F12">
        <v>-46.170999999999999</v>
      </c>
      <c r="G12">
        <v>4.0330000000000004</v>
      </c>
      <c r="H12">
        <v>-14.712999999999999</v>
      </c>
      <c r="I12">
        <v>0.41799999999999998</v>
      </c>
      <c r="J12">
        <v>2.9260000000000002</v>
      </c>
      <c r="K12">
        <v>1.0999999999999999E-2</v>
      </c>
      <c r="L12">
        <v>2.9769999999999999</v>
      </c>
      <c r="M12">
        <v>3.0000000000000001E-3</v>
      </c>
      <c r="N12">
        <v>2850.3339999999998</v>
      </c>
      <c r="O12">
        <v>1.3819999999999999</v>
      </c>
    </row>
    <row r="13" spans="1:18" x14ac:dyDescent="0.25">
      <c r="A13">
        <v>12</v>
      </c>
      <c r="B13" t="s">
        <v>64</v>
      </c>
      <c r="D13">
        <v>-39.743000000000002</v>
      </c>
      <c r="E13">
        <v>5.5529999999999999</v>
      </c>
      <c r="F13">
        <v>-43.604999999999997</v>
      </c>
      <c r="G13">
        <v>4.4240000000000004</v>
      </c>
      <c r="H13">
        <v>-37.344999999999999</v>
      </c>
      <c r="I13">
        <v>0.95499999999999996</v>
      </c>
      <c r="J13">
        <v>2.9569999999999999</v>
      </c>
      <c r="K13">
        <v>1.4999999999999999E-2</v>
      </c>
      <c r="L13">
        <v>2.9940000000000002</v>
      </c>
      <c r="M13">
        <v>3.0000000000000001E-3</v>
      </c>
      <c r="N13">
        <v>484.09100000000001</v>
      </c>
      <c r="O13">
        <v>0.53700000000000003</v>
      </c>
    </row>
    <row r="14" spans="1:18" x14ac:dyDescent="0.25">
      <c r="A14">
        <v>13</v>
      </c>
      <c r="B14" s="5" t="s">
        <v>96</v>
      </c>
      <c r="C14" s="5"/>
      <c r="D14" s="5">
        <v>-64.061999999999998</v>
      </c>
      <c r="E14" s="5">
        <v>0.42199999999999999</v>
      </c>
      <c r="F14" s="5"/>
      <c r="G14" s="5"/>
      <c r="H14" s="5">
        <v>0.16300000000000001</v>
      </c>
      <c r="I14" s="5">
        <v>3.6070000000000002</v>
      </c>
      <c r="J14" s="5">
        <v>2150.0835999999999</v>
      </c>
      <c r="K14" s="5">
        <v>1.9119999999999999</v>
      </c>
      <c r="L14" s="5"/>
      <c r="M14" s="5"/>
      <c r="N14" s="5">
        <v>674.32600000000002</v>
      </c>
      <c r="O14" s="5">
        <v>0.66</v>
      </c>
      <c r="P14" s="5"/>
      <c r="Q14" s="5">
        <v>1</v>
      </c>
      <c r="R14" s="5" t="s">
        <v>97</v>
      </c>
    </row>
    <row r="15" spans="1:18" x14ac:dyDescent="0.25">
      <c r="A15">
        <v>14</v>
      </c>
      <c r="B15" t="s">
        <v>15</v>
      </c>
    </row>
    <row r="16" spans="1:18" x14ac:dyDescent="0.25">
      <c r="A16">
        <v>15</v>
      </c>
      <c r="B16" t="s">
        <v>15</v>
      </c>
    </row>
    <row r="17" spans="1:16" x14ac:dyDescent="0.25">
      <c r="A17">
        <v>16</v>
      </c>
      <c r="B17" t="s">
        <v>15</v>
      </c>
    </row>
    <row r="18" spans="1:16" x14ac:dyDescent="0.25">
      <c r="A18">
        <v>17</v>
      </c>
      <c r="B18" t="s">
        <v>15</v>
      </c>
    </row>
    <row r="19" spans="1:16" x14ac:dyDescent="0.25">
      <c r="A19">
        <v>18</v>
      </c>
      <c r="B19" t="s">
        <v>96</v>
      </c>
      <c r="C19">
        <v>6.1728395061728392E-2</v>
      </c>
      <c r="D19">
        <v>-64.936000000000007</v>
      </c>
      <c r="E19">
        <v>0.24099999999999999</v>
      </c>
      <c r="H19">
        <v>-5.9610000000000003</v>
      </c>
      <c r="I19">
        <v>3.3740000000000001</v>
      </c>
      <c r="J19">
        <v>125.247</v>
      </c>
      <c r="K19">
        <v>0.13600000000000001</v>
      </c>
      <c r="L19">
        <v>125.33799999999999</v>
      </c>
      <c r="M19">
        <v>0</v>
      </c>
      <c r="N19">
        <v>140.803</v>
      </c>
      <c r="O19">
        <v>0.21199999999999999</v>
      </c>
    </row>
    <row r="20" spans="1:16" x14ac:dyDescent="0.25">
      <c r="A20">
        <v>19</v>
      </c>
      <c r="B20" t="s">
        <v>15</v>
      </c>
    </row>
    <row r="21" spans="1:16" x14ac:dyDescent="0.25">
      <c r="A21">
        <v>20</v>
      </c>
      <c r="B21" t="s">
        <v>212</v>
      </c>
      <c r="D21">
        <v>-49.165999999999997</v>
      </c>
      <c r="E21">
        <v>7.5609999999999999</v>
      </c>
      <c r="F21">
        <v>-48.201999999999998</v>
      </c>
      <c r="G21">
        <v>4.4889999999999999</v>
      </c>
      <c r="H21">
        <v>-11.516</v>
      </c>
      <c r="I21">
        <v>0.67300000000000004</v>
      </c>
      <c r="J21">
        <v>2.9279999999999999</v>
      </c>
      <c r="K21">
        <v>1.6E-2</v>
      </c>
      <c r="L21">
        <v>2.94</v>
      </c>
      <c r="M21">
        <v>4.0000000000000001E-3</v>
      </c>
      <c r="N21">
        <v>833.26900000000001</v>
      </c>
      <c r="O21">
        <v>0.48599999999999999</v>
      </c>
    </row>
    <row r="22" spans="1:16" x14ac:dyDescent="0.25">
      <c r="A22">
        <v>21</v>
      </c>
      <c r="B22" t="s">
        <v>98</v>
      </c>
      <c r="D22">
        <v>-51.567999999999998</v>
      </c>
      <c r="E22">
        <v>5.1029999999999998</v>
      </c>
      <c r="F22">
        <v>-48.389000000000003</v>
      </c>
      <c r="G22">
        <v>3.41</v>
      </c>
      <c r="H22">
        <v>-11.571999999999999</v>
      </c>
      <c r="I22">
        <v>0.65100000000000002</v>
      </c>
      <c r="J22">
        <v>2.9940000000000002</v>
      </c>
      <c r="K22">
        <v>1.4E-2</v>
      </c>
      <c r="L22">
        <v>3.0179999999999998</v>
      </c>
      <c r="M22">
        <v>4.0000000000000001E-3</v>
      </c>
      <c r="N22">
        <v>813.51</v>
      </c>
      <c r="O22">
        <v>0.68200000000000005</v>
      </c>
    </row>
    <row r="23" spans="1:16" x14ac:dyDescent="0.25">
      <c r="A23">
        <v>22</v>
      </c>
      <c r="B23" t="s">
        <v>99</v>
      </c>
      <c r="D23">
        <v>-57.603000000000002</v>
      </c>
      <c r="E23">
        <v>8.02</v>
      </c>
      <c r="F23">
        <v>-52.771999999999998</v>
      </c>
      <c r="G23">
        <v>5.5110000000000001</v>
      </c>
      <c r="H23">
        <v>-12.425000000000001</v>
      </c>
      <c r="I23">
        <v>0.51200000000000001</v>
      </c>
      <c r="J23">
        <v>2.5790000000000002</v>
      </c>
      <c r="K23">
        <v>1.7999999999999999E-2</v>
      </c>
      <c r="L23">
        <v>2.5830000000000002</v>
      </c>
      <c r="M23">
        <v>2E-3</v>
      </c>
      <c r="N23">
        <v>813.4</v>
      </c>
      <c r="O23">
        <v>0.43</v>
      </c>
    </row>
    <row r="25" spans="1:16" x14ac:dyDescent="0.25">
      <c r="J25">
        <f>1/15</f>
        <v>6.6666666666666666E-2</v>
      </c>
      <c r="L25">
        <f>100/850</f>
        <v>0.11764705882352941</v>
      </c>
      <c r="N25">
        <v>1</v>
      </c>
      <c r="O25">
        <f>N25+L25</f>
        <v>1.1176470588235294</v>
      </c>
      <c r="P25">
        <f>O25/15</f>
        <v>7.4509803921568626E-2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8576-4188-7C4D-9EBF-BC17CF6C1CDD}">
  <dimension ref="A1:R22"/>
  <sheetViews>
    <sheetView workbookViewId="0">
      <selection activeCell="A2" sqref="A2:R22"/>
    </sheetView>
  </sheetViews>
  <sheetFormatPr defaultColWidth="11" defaultRowHeight="15.7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18" x14ac:dyDescent="0.25">
      <c r="A2">
        <v>1</v>
      </c>
      <c r="B2" t="s">
        <v>15</v>
      </c>
    </row>
    <row r="3" spans="1:18" x14ac:dyDescent="0.25">
      <c r="A3">
        <v>2</v>
      </c>
      <c r="B3" t="s">
        <v>16</v>
      </c>
      <c r="D3">
        <v>-42.378999999999998</v>
      </c>
      <c r="E3">
        <v>0.40200000000000002</v>
      </c>
      <c r="H3">
        <v>-42.423000000000002</v>
      </c>
      <c r="I3">
        <v>0.44900000000000001</v>
      </c>
      <c r="J3">
        <v>35.896000000000001</v>
      </c>
      <c r="K3">
        <v>3.7999999999999999E-2</v>
      </c>
      <c r="L3">
        <v>35.198</v>
      </c>
      <c r="M3">
        <v>0</v>
      </c>
      <c r="N3">
        <v>1433.761</v>
      </c>
      <c r="O3">
        <v>0.753</v>
      </c>
    </row>
    <row r="4" spans="1:18" x14ac:dyDescent="0.25">
      <c r="A4">
        <v>3</v>
      </c>
      <c r="B4" t="s">
        <v>15</v>
      </c>
    </row>
    <row r="5" spans="1:18" x14ac:dyDescent="0.25">
      <c r="A5">
        <v>4</v>
      </c>
      <c r="B5" t="s">
        <v>48</v>
      </c>
      <c r="D5">
        <v>-43.118099999999998</v>
      </c>
      <c r="E5">
        <v>6.5330000000000004</v>
      </c>
      <c r="F5">
        <v>-45.326999999999998</v>
      </c>
      <c r="G5">
        <v>4.0679999999999996</v>
      </c>
      <c r="H5">
        <v>-42.091099999999997</v>
      </c>
      <c r="I5">
        <v>1.2869999999999999</v>
      </c>
      <c r="J5">
        <v>2.8010000000000002</v>
      </c>
      <c r="K5">
        <v>1.4E-2</v>
      </c>
      <c r="L5">
        <v>2.8140000000000001</v>
      </c>
      <c r="M5">
        <v>4.0000000000000001E-3</v>
      </c>
      <c r="N5">
        <v>460.34800000000001</v>
      </c>
      <c r="O5">
        <v>0.36599999999999999</v>
      </c>
    </row>
    <row r="6" spans="1:18" x14ac:dyDescent="0.25">
      <c r="A6">
        <v>5</v>
      </c>
      <c r="B6" t="s">
        <v>101</v>
      </c>
      <c r="D6">
        <v>-51.32</v>
      </c>
      <c r="E6">
        <v>5.7430000000000003</v>
      </c>
      <c r="F6">
        <v>-48.447000000000003</v>
      </c>
      <c r="G6">
        <v>3.5760000000000001</v>
      </c>
      <c r="H6">
        <v>-12.084</v>
      </c>
      <c r="I6">
        <v>0.51900000000000002</v>
      </c>
      <c r="J6">
        <v>3.08</v>
      </c>
      <c r="K6">
        <v>1.4999999999999999E-2</v>
      </c>
      <c r="L6">
        <v>3.109</v>
      </c>
      <c r="M6">
        <v>4.0000000000000001E-3</v>
      </c>
      <c r="N6">
        <v>767.88099999999997</v>
      </c>
      <c r="O6">
        <v>0.52700000000000002</v>
      </c>
    </row>
    <row r="7" spans="1:18" x14ac:dyDescent="0.25">
      <c r="A7">
        <v>6</v>
      </c>
      <c r="B7" t="s">
        <v>102</v>
      </c>
      <c r="D7">
        <v>-48.872999999999998</v>
      </c>
      <c r="E7">
        <v>5.9160000000000004</v>
      </c>
      <c r="F7">
        <v>-46.015000000000001</v>
      </c>
      <c r="G7">
        <v>4.383</v>
      </c>
      <c r="H7">
        <v>-11.757</v>
      </c>
      <c r="I7">
        <v>0.57599999999999996</v>
      </c>
      <c r="J7">
        <v>3.137</v>
      </c>
      <c r="K7">
        <v>1.4E-2</v>
      </c>
      <c r="L7">
        <v>3.1720000000000002</v>
      </c>
      <c r="M7">
        <v>3.0000000000000001E-3</v>
      </c>
      <c r="N7">
        <v>823.51599999999996</v>
      </c>
      <c r="O7">
        <v>0.378</v>
      </c>
    </row>
    <row r="8" spans="1:18" x14ac:dyDescent="0.25">
      <c r="A8">
        <v>7</v>
      </c>
      <c r="B8" t="s">
        <v>103</v>
      </c>
      <c r="D8">
        <v>-48.332000000000001</v>
      </c>
      <c r="E8">
        <v>5.5</v>
      </c>
      <c r="F8">
        <v>-47.066000000000003</v>
      </c>
      <c r="G8">
        <v>3.1960000000000002</v>
      </c>
      <c r="H8">
        <v>-11.9</v>
      </c>
      <c r="I8">
        <v>0.54200000000000004</v>
      </c>
      <c r="J8">
        <v>3.3010000000000002</v>
      </c>
      <c r="K8">
        <v>1.2999999999999999E-2</v>
      </c>
      <c r="L8">
        <v>3.339</v>
      </c>
      <c r="M8">
        <v>4.0000000000000001E-3</v>
      </c>
      <c r="N8">
        <v>762.84400000000005</v>
      </c>
      <c r="O8">
        <v>0.495</v>
      </c>
    </row>
    <row r="9" spans="1:18" x14ac:dyDescent="0.25">
      <c r="A9">
        <v>8</v>
      </c>
      <c r="B9" t="s">
        <v>104</v>
      </c>
      <c r="D9">
        <v>-48.944000000000003</v>
      </c>
      <c r="E9">
        <v>5.1760000000000002</v>
      </c>
      <c r="F9">
        <v>-47.738999999999997</v>
      </c>
      <c r="G9">
        <v>3.4729999999999999</v>
      </c>
      <c r="H9">
        <v>-14.047000000000001</v>
      </c>
      <c r="I9">
        <v>0.67900000000000005</v>
      </c>
      <c r="J9">
        <v>3.0960000000000001</v>
      </c>
      <c r="K9">
        <v>1.4999999999999999E-2</v>
      </c>
      <c r="L9">
        <v>3.1379999999999999</v>
      </c>
      <c r="M9">
        <v>4.0000000000000001E-3</v>
      </c>
      <c r="N9">
        <v>794.60900000000004</v>
      </c>
      <c r="O9">
        <v>0.61699999999999999</v>
      </c>
    </row>
    <row r="10" spans="1:18" x14ac:dyDescent="0.25">
      <c r="A10">
        <v>9</v>
      </c>
      <c r="B10" t="s">
        <v>105</v>
      </c>
      <c r="D10">
        <v>-49.994999999999997</v>
      </c>
      <c r="E10">
        <v>5.0739999999999998</v>
      </c>
      <c r="F10">
        <v>-47.116</v>
      </c>
      <c r="G10">
        <v>3.1160000000000001</v>
      </c>
      <c r="H10">
        <v>-12.581</v>
      </c>
      <c r="I10">
        <v>0.85799999999999998</v>
      </c>
      <c r="J10">
        <v>3.0920000000000001</v>
      </c>
      <c r="K10">
        <v>1.2999999999999999E-2</v>
      </c>
      <c r="L10">
        <v>3.129</v>
      </c>
      <c r="M10">
        <v>3.0000000000000001E-3</v>
      </c>
      <c r="N10">
        <v>662.31</v>
      </c>
      <c r="O10">
        <v>0.47899999999999998</v>
      </c>
    </row>
    <row r="11" spans="1:18" x14ac:dyDescent="0.25">
      <c r="A11">
        <v>10</v>
      </c>
      <c r="B11" t="s">
        <v>106</v>
      </c>
      <c r="D11">
        <v>-49.832000000000001</v>
      </c>
      <c r="E11">
        <v>4.0830000000000002</v>
      </c>
      <c r="F11">
        <v>-46.116999999999997</v>
      </c>
      <c r="G11">
        <v>3.31</v>
      </c>
      <c r="H11">
        <v>-13.558</v>
      </c>
      <c r="I11">
        <v>0.66500000000000004</v>
      </c>
      <c r="J11">
        <v>3.1850000000000001</v>
      </c>
      <c r="K11">
        <v>1.4E-2</v>
      </c>
      <c r="L11">
        <v>3.2149999999999999</v>
      </c>
      <c r="M11">
        <v>4.0000000000000001E-3</v>
      </c>
      <c r="N11">
        <v>644.06799999999998</v>
      </c>
      <c r="O11">
        <v>0.44900000000000001</v>
      </c>
    </row>
    <row r="12" spans="1:18" x14ac:dyDescent="0.25">
      <c r="A12">
        <v>11</v>
      </c>
      <c r="B12" t="s">
        <v>15</v>
      </c>
    </row>
    <row r="13" spans="1:18" x14ac:dyDescent="0.25">
      <c r="A13">
        <v>12</v>
      </c>
      <c r="B13" t="s">
        <v>107</v>
      </c>
      <c r="D13">
        <v>-60.29</v>
      </c>
      <c r="E13">
        <v>5.7160000000000002</v>
      </c>
      <c r="F13">
        <v>-50.03</v>
      </c>
      <c r="G13">
        <v>3.7829999999999999</v>
      </c>
      <c r="H13">
        <v>-32.689</v>
      </c>
      <c r="I13">
        <v>1.012</v>
      </c>
      <c r="J13">
        <v>2.956</v>
      </c>
      <c r="K13">
        <v>1.4E-2</v>
      </c>
      <c r="L13">
        <v>2.9569999999999999</v>
      </c>
      <c r="M13">
        <v>4.0000000000000001E-3</v>
      </c>
      <c r="N13">
        <v>396.09899999999999</v>
      </c>
      <c r="O13">
        <v>0.35199999999999998</v>
      </c>
    </row>
    <row r="14" spans="1:18" x14ac:dyDescent="0.25">
      <c r="A14">
        <v>13</v>
      </c>
      <c r="B14" t="s">
        <v>107</v>
      </c>
      <c r="D14">
        <v>-61.847999999999999</v>
      </c>
      <c r="E14">
        <v>5.6390000000000002</v>
      </c>
      <c r="F14">
        <v>-50.780999999999999</v>
      </c>
      <c r="G14">
        <v>4.7560000000000002</v>
      </c>
      <c r="H14">
        <v>-32.850999999999999</v>
      </c>
      <c r="I14">
        <v>1.27</v>
      </c>
      <c r="J14">
        <v>2.9889999999999999</v>
      </c>
      <c r="K14">
        <v>1.4E-2</v>
      </c>
      <c r="L14">
        <v>2.996</v>
      </c>
      <c r="M14">
        <v>3.0000000000000001E-3</v>
      </c>
      <c r="N14">
        <v>370.10899999999998</v>
      </c>
      <c r="O14">
        <v>0.31119999999999998</v>
      </c>
    </row>
    <row r="15" spans="1:18" x14ac:dyDescent="0.25">
      <c r="A15">
        <v>14</v>
      </c>
      <c r="B15" t="s">
        <v>107</v>
      </c>
      <c r="D15">
        <v>-63.67</v>
      </c>
      <c r="E15">
        <v>8.2080000000000002</v>
      </c>
      <c r="F15">
        <v>-50.53</v>
      </c>
      <c r="G15">
        <v>5.4779999999999998</v>
      </c>
      <c r="H15">
        <v>-34.731999999999999</v>
      </c>
      <c r="I15">
        <v>1.367</v>
      </c>
      <c r="J15">
        <v>2.9449999999999998</v>
      </c>
      <c r="K15">
        <v>1.1599999999999999E-2</v>
      </c>
      <c r="L15">
        <v>2.9460000000000002</v>
      </c>
      <c r="M15">
        <v>4.0000000000000001E-3</v>
      </c>
      <c r="N15">
        <v>344.76299999999998</v>
      </c>
      <c r="O15">
        <v>0.34599999999999997</v>
      </c>
    </row>
    <row r="16" spans="1:18" x14ac:dyDescent="0.25">
      <c r="A16">
        <v>15</v>
      </c>
      <c r="B16" t="s">
        <v>107</v>
      </c>
      <c r="D16">
        <v>-61.29</v>
      </c>
      <c r="E16">
        <v>5.7320000000000002</v>
      </c>
      <c r="F16">
        <v>-51.531999999999996</v>
      </c>
      <c r="G16">
        <v>3.605</v>
      </c>
      <c r="H16">
        <v>-34.154000000000003</v>
      </c>
      <c r="I16">
        <v>0.28100000000000003</v>
      </c>
      <c r="J16">
        <v>2.9670000000000001</v>
      </c>
      <c r="K16">
        <v>1.4E-2</v>
      </c>
      <c r="L16">
        <v>2.9750000000000001</v>
      </c>
      <c r="M16">
        <v>4.0000000000000001E-3</v>
      </c>
      <c r="N16">
        <v>374.226</v>
      </c>
      <c r="O16">
        <v>0.34100000000000003</v>
      </c>
    </row>
    <row r="17" spans="1:18" x14ac:dyDescent="0.25">
      <c r="A17">
        <v>16</v>
      </c>
      <c r="B17" t="s">
        <v>108</v>
      </c>
      <c r="D17">
        <v>-53.259</v>
      </c>
      <c r="E17">
        <v>10.885</v>
      </c>
      <c r="F17">
        <v>-51.496000000000002</v>
      </c>
      <c r="G17">
        <v>6.7619999999999996</v>
      </c>
      <c r="H17">
        <v>-6.5679999999999996</v>
      </c>
      <c r="I17">
        <v>0.95799999999999996</v>
      </c>
      <c r="J17">
        <v>1.891</v>
      </c>
      <c r="K17">
        <v>1.2E-2</v>
      </c>
      <c r="L17">
        <v>1.913</v>
      </c>
      <c r="M17">
        <v>2E-3</v>
      </c>
      <c r="N17">
        <v>417.15199999999999</v>
      </c>
      <c r="O17">
        <v>0.35699999999999998</v>
      </c>
    </row>
    <row r="18" spans="1:18" x14ac:dyDescent="0.25">
      <c r="A18">
        <v>17</v>
      </c>
      <c r="B18" t="s">
        <v>64</v>
      </c>
      <c r="D18">
        <v>-47.926000000000002</v>
      </c>
      <c r="E18">
        <v>5.9850000000000003</v>
      </c>
      <c r="F18">
        <v>-46.552</v>
      </c>
      <c r="G18">
        <v>3.5569999999999999</v>
      </c>
      <c r="H18">
        <v>-37.281999999999996</v>
      </c>
      <c r="I18">
        <v>0.995</v>
      </c>
      <c r="J18">
        <v>3.2970000000000002</v>
      </c>
      <c r="K18">
        <v>1.4999999999999999E-2</v>
      </c>
      <c r="L18">
        <v>3.331</v>
      </c>
      <c r="M18">
        <v>4.0000000000000001E-3</v>
      </c>
      <c r="N18">
        <v>464.73200000000003</v>
      </c>
      <c r="O18">
        <v>0.42599999999999999</v>
      </c>
    </row>
    <row r="19" spans="1:18" x14ac:dyDescent="0.25">
      <c r="A19">
        <v>18</v>
      </c>
      <c r="B19" t="s">
        <v>107</v>
      </c>
      <c r="D19">
        <v>-60.681100000000001</v>
      </c>
      <c r="E19">
        <v>6.2140000000000004</v>
      </c>
      <c r="F19">
        <v>-50.203000000000003</v>
      </c>
      <c r="G19">
        <v>3.8410000000000002</v>
      </c>
      <c r="H19">
        <v>-34.091999999999999</v>
      </c>
      <c r="I19">
        <v>1.359</v>
      </c>
      <c r="J19">
        <v>2.98</v>
      </c>
      <c r="K19">
        <v>1.6E-2</v>
      </c>
      <c r="L19">
        <v>2.9860000000000002</v>
      </c>
      <c r="M19">
        <v>4.0000000000000001E-3</v>
      </c>
      <c r="N19">
        <v>377.04300000000001</v>
      </c>
      <c r="O19">
        <v>0.36399999999999999</v>
      </c>
    </row>
    <row r="20" spans="1:18" x14ac:dyDescent="0.25">
      <c r="A20">
        <v>19</v>
      </c>
      <c r="B20" t="s">
        <v>107</v>
      </c>
      <c r="D20">
        <v>-61.677999999999997</v>
      </c>
      <c r="E20">
        <v>6.5170000000000003</v>
      </c>
      <c r="F20">
        <f>-49/170</f>
        <v>-0.28823529411764703</v>
      </c>
      <c r="G20">
        <v>3.6230000000000002</v>
      </c>
      <c r="H20">
        <v>-34.292000000000002</v>
      </c>
      <c r="I20">
        <v>1.1240000000000001</v>
      </c>
      <c r="J20">
        <v>2.9409999999999998</v>
      </c>
      <c r="K20">
        <v>1.4999999999999999E-2</v>
      </c>
      <c r="L20">
        <v>2.9460000000000002</v>
      </c>
      <c r="M20">
        <v>4.0000000000000001E-3</v>
      </c>
      <c r="N20">
        <v>370.42899999999997</v>
      </c>
      <c r="O20">
        <v>0.379</v>
      </c>
    </row>
    <row r="21" spans="1:18" x14ac:dyDescent="0.25">
      <c r="A21">
        <v>20</v>
      </c>
      <c r="B21" t="s">
        <v>107</v>
      </c>
      <c r="D21">
        <v>-58.048999999999999</v>
      </c>
      <c r="E21">
        <v>6.43</v>
      </c>
      <c r="F21">
        <v>-48.741100000000003</v>
      </c>
      <c r="G21">
        <v>3.4319999999999999</v>
      </c>
      <c r="H21">
        <v>-29.992000000000001</v>
      </c>
      <c r="I21">
        <v>1.181</v>
      </c>
      <c r="J21">
        <v>2.927</v>
      </c>
      <c r="K21">
        <v>1.7000000000000001E-2</v>
      </c>
      <c r="L21">
        <v>2.9350000000000001</v>
      </c>
      <c r="M21">
        <v>3.0000000000000001E-3</v>
      </c>
      <c r="N21">
        <v>399.91300000000001</v>
      </c>
      <c r="O21">
        <v>0.33100000000000002</v>
      </c>
    </row>
    <row r="22" spans="1:18" x14ac:dyDescent="0.25">
      <c r="A22">
        <v>21</v>
      </c>
      <c r="B22" s="7" t="s">
        <v>109</v>
      </c>
      <c r="C22" s="7"/>
      <c r="D22" s="7">
        <v>-60.88</v>
      </c>
      <c r="E22" s="7">
        <v>6.3360000000000003</v>
      </c>
      <c r="F22" s="7">
        <v>-50.886000000000003</v>
      </c>
      <c r="G22" s="7">
        <v>3.351</v>
      </c>
      <c r="H22" s="7">
        <v>-25.536999999999999</v>
      </c>
      <c r="I22" s="7">
        <v>1.2050000000000001</v>
      </c>
      <c r="J22" s="7">
        <v>2.7690000000000001</v>
      </c>
      <c r="K22" s="7">
        <v>1.6E-2</v>
      </c>
      <c r="L22" s="7">
        <v>2.7709999999999999</v>
      </c>
      <c r="M22" s="7">
        <v>3.0000000000000001E-3</v>
      </c>
      <c r="N22" s="7">
        <v>371.13900000000001</v>
      </c>
      <c r="O22" s="7">
        <v>0.26400000000000001</v>
      </c>
      <c r="P22" s="7"/>
      <c r="Q22" s="7"/>
      <c r="R22" s="7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CC3E-8EB7-5841-9079-F5E707751177}">
  <dimension ref="A1:S31"/>
  <sheetViews>
    <sheetView workbookViewId="0">
      <selection activeCell="A18" activeCellId="1" sqref="A1:S31"/>
    </sheetView>
  </sheetViews>
  <sheetFormatPr defaultColWidth="11" defaultRowHeight="15.7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19" x14ac:dyDescent="0.25">
      <c r="A2">
        <v>1</v>
      </c>
      <c r="B2" t="s">
        <v>15</v>
      </c>
    </row>
    <row r="3" spans="1:19" x14ac:dyDescent="0.25">
      <c r="A3">
        <v>2</v>
      </c>
      <c r="B3" t="s">
        <v>111</v>
      </c>
      <c r="C3">
        <f>35/45</f>
        <v>0.77777777777777779</v>
      </c>
      <c r="D3">
        <v>-22.390999999999998</v>
      </c>
      <c r="E3">
        <v>0.42499999999999999</v>
      </c>
      <c r="K3">
        <v>263.923</v>
      </c>
      <c r="L3">
        <v>0.30099999999999999</v>
      </c>
      <c r="Q3">
        <v>0.76300000000000001</v>
      </c>
      <c r="R3" t="s">
        <v>112</v>
      </c>
    </row>
    <row r="4" spans="1:19" x14ac:dyDescent="0.25">
      <c r="A4">
        <v>3</v>
      </c>
      <c r="B4" t="s">
        <v>15</v>
      </c>
      <c r="D4">
        <v>-20.157</v>
      </c>
      <c r="E4">
        <v>4.2779999999999996</v>
      </c>
      <c r="F4">
        <v>-19.802</v>
      </c>
      <c r="G4">
        <v>3.222</v>
      </c>
      <c r="J4">
        <v>3.4319999999999999</v>
      </c>
      <c r="K4">
        <v>1.2E-2</v>
      </c>
      <c r="L4">
        <v>3.4449999999999998</v>
      </c>
      <c r="M4">
        <v>5.0000000000000001E-3</v>
      </c>
    </row>
    <row r="5" spans="1:19" x14ac:dyDescent="0.25">
      <c r="A5">
        <v>4</v>
      </c>
      <c r="B5" t="s">
        <v>15</v>
      </c>
    </row>
    <row r="6" spans="1:19" x14ac:dyDescent="0.25">
      <c r="A6" s="5">
        <v>5</v>
      </c>
      <c r="B6" s="5" t="s">
        <v>56</v>
      </c>
      <c r="C6" s="5"/>
      <c r="D6" s="5">
        <v>-59.92</v>
      </c>
      <c r="E6" s="5">
        <v>0.33700000000000002</v>
      </c>
      <c r="F6" s="5"/>
      <c r="G6" s="5"/>
      <c r="H6" s="5">
        <v>-33.154000000000003</v>
      </c>
      <c r="I6" s="5">
        <v>0.80800000000000005</v>
      </c>
      <c r="J6" s="5">
        <v>1058.934</v>
      </c>
      <c r="K6" s="5">
        <v>1.284</v>
      </c>
      <c r="L6" s="5"/>
      <c r="M6" s="5"/>
      <c r="N6" s="5">
        <v>466.202</v>
      </c>
      <c r="O6" s="5">
        <v>0.441</v>
      </c>
      <c r="P6" s="5">
        <v>0.441</v>
      </c>
      <c r="Q6" s="5">
        <v>1</v>
      </c>
      <c r="R6" s="5" t="s">
        <v>113</v>
      </c>
      <c r="S6" s="5"/>
    </row>
    <row r="7" spans="1:19" x14ac:dyDescent="0.25">
      <c r="A7">
        <v>6</v>
      </c>
      <c r="B7" t="s">
        <v>15</v>
      </c>
    </row>
    <row r="8" spans="1:19" x14ac:dyDescent="0.25">
      <c r="A8">
        <v>7</v>
      </c>
      <c r="B8" t="s">
        <v>15</v>
      </c>
    </row>
    <row r="9" spans="1:19" x14ac:dyDescent="0.25">
      <c r="A9">
        <v>8</v>
      </c>
      <c r="B9" t="s">
        <v>48</v>
      </c>
      <c r="D9">
        <v>-42.154000000000003</v>
      </c>
      <c r="E9">
        <v>6.5759999999999996</v>
      </c>
      <c r="F9">
        <v>-44.841000000000001</v>
      </c>
      <c r="G9">
        <v>4.1760000000000002</v>
      </c>
      <c r="H9">
        <v>-42.087000000000003</v>
      </c>
      <c r="I9">
        <v>1.113</v>
      </c>
      <c r="J9">
        <v>2.8769999999999998</v>
      </c>
      <c r="K9">
        <v>1.4999999999999999E-2</v>
      </c>
      <c r="L9">
        <v>2.89</v>
      </c>
      <c r="M9">
        <v>4.0000000000000001E-3</v>
      </c>
      <c r="N9">
        <v>467.69400000000002</v>
      </c>
      <c r="O9">
        <v>0.377</v>
      </c>
    </row>
    <row r="10" spans="1:19" x14ac:dyDescent="0.25">
      <c r="A10">
        <v>9</v>
      </c>
      <c r="B10" t="s">
        <v>114</v>
      </c>
      <c r="D10">
        <v>-41.546999999999997</v>
      </c>
      <c r="E10">
        <v>4.5579999999999998</v>
      </c>
      <c r="F10">
        <v>-44.665999999999997</v>
      </c>
      <c r="G10">
        <v>3.3860000000000001</v>
      </c>
      <c r="H10">
        <v>-41.686</v>
      </c>
      <c r="I10">
        <v>0.86799999999999999</v>
      </c>
      <c r="J10">
        <v>2.8660000000000001</v>
      </c>
      <c r="K10">
        <v>1.2E-2</v>
      </c>
      <c r="L10">
        <v>2.88</v>
      </c>
      <c r="M10">
        <v>4.0000000000000001E-3</v>
      </c>
      <c r="N10">
        <v>470.06900000000002</v>
      </c>
      <c r="O10">
        <v>0.35599999999999998</v>
      </c>
    </row>
    <row r="11" spans="1:19" x14ac:dyDescent="0.25">
      <c r="A11">
        <v>10</v>
      </c>
      <c r="B11" t="s">
        <v>114</v>
      </c>
      <c r="D11">
        <v>-44.222999999999999</v>
      </c>
      <c r="E11">
        <v>5.8929999999999998</v>
      </c>
      <c r="F11">
        <v>-45.576000000000001</v>
      </c>
      <c r="G11">
        <v>4.093</v>
      </c>
      <c r="H11">
        <v>-42.164000000000001</v>
      </c>
      <c r="I11">
        <v>1.103</v>
      </c>
      <c r="J11">
        <v>2.86</v>
      </c>
      <c r="K11">
        <v>1.2E-2</v>
      </c>
      <c r="L11">
        <v>2.87</v>
      </c>
      <c r="M11">
        <v>5.0000000000000001E-3</v>
      </c>
      <c r="N11">
        <v>467.721</v>
      </c>
      <c r="O11">
        <v>0.378</v>
      </c>
    </row>
    <row r="12" spans="1:19" x14ac:dyDescent="0.25">
      <c r="A12">
        <v>11</v>
      </c>
      <c r="B12" t="s">
        <v>115</v>
      </c>
      <c r="D12">
        <v>-50.469000000000001</v>
      </c>
      <c r="E12">
        <v>7.2450000000000001</v>
      </c>
      <c r="F12">
        <v>-37.506</v>
      </c>
      <c r="G12">
        <v>5.3090000000000002</v>
      </c>
      <c r="H12">
        <v>-11.912000000000001</v>
      </c>
      <c r="I12">
        <v>0.752</v>
      </c>
      <c r="J12">
        <v>4.718</v>
      </c>
      <c r="K12">
        <v>2.5000000000000001E-2</v>
      </c>
      <c r="L12">
        <v>4.7380000000000004</v>
      </c>
      <c r="M12">
        <v>2.3E-2</v>
      </c>
      <c r="N12">
        <v>813.88900000000001</v>
      </c>
      <c r="O12">
        <v>0.58499999999999996</v>
      </c>
    </row>
    <row r="13" spans="1:19" x14ac:dyDescent="0.25">
      <c r="A13">
        <v>12</v>
      </c>
      <c r="B13" t="s">
        <v>116</v>
      </c>
      <c r="D13">
        <v>-51.046999999999997</v>
      </c>
      <c r="E13">
        <v>5.0709999999999997</v>
      </c>
      <c r="F13">
        <v>-47.906999999999996</v>
      </c>
      <c r="G13">
        <v>2.92</v>
      </c>
      <c r="H13">
        <v>-11.192</v>
      </c>
      <c r="I13">
        <v>0.76400000000000001</v>
      </c>
      <c r="J13">
        <v>3.1469999999999998</v>
      </c>
      <c r="K13">
        <v>0.03</v>
      </c>
      <c r="L13">
        <v>3.1829999999999998</v>
      </c>
      <c r="M13">
        <v>4.0000000000000001E-3</v>
      </c>
      <c r="N13">
        <v>750.96400000000006</v>
      </c>
      <c r="O13">
        <v>0.66300000000000003</v>
      </c>
    </row>
    <row r="14" spans="1:19" x14ac:dyDescent="0.25">
      <c r="A14">
        <v>13</v>
      </c>
      <c r="B14" t="s">
        <v>117</v>
      </c>
      <c r="D14">
        <v>-51.018999999999998</v>
      </c>
      <c r="E14">
        <v>5.2249999999999996</v>
      </c>
      <c r="F14">
        <v>-46.334000000000003</v>
      </c>
      <c r="G14">
        <v>3.355</v>
      </c>
      <c r="H14">
        <v>-12.333</v>
      </c>
      <c r="I14">
        <v>0.67600000000000005</v>
      </c>
      <c r="J14">
        <v>3.403</v>
      </c>
      <c r="K14">
        <v>1.4999999999999999E-2</v>
      </c>
      <c r="L14">
        <v>3.4390000000000001</v>
      </c>
      <c r="M14">
        <v>4.0000000000000001E-3</v>
      </c>
      <c r="N14">
        <v>664.60299999999995</v>
      </c>
      <c r="O14">
        <v>0.36099999999999999</v>
      </c>
    </row>
    <row r="15" spans="1:19" x14ac:dyDescent="0.25">
      <c r="A15">
        <v>14</v>
      </c>
      <c r="B15" t="s">
        <v>118</v>
      </c>
      <c r="D15">
        <v>-46.136000000000003</v>
      </c>
      <c r="E15">
        <v>5.73</v>
      </c>
      <c r="F15">
        <v>-46.387999999999998</v>
      </c>
      <c r="G15">
        <v>3.31</v>
      </c>
      <c r="H15">
        <v>-11.135</v>
      </c>
      <c r="I15">
        <v>0.63200000000000001</v>
      </c>
      <c r="J15">
        <v>3.1539999999999999</v>
      </c>
      <c r="K15">
        <v>1.4E-2</v>
      </c>
      <c r="L15">
        <v>3.1850000000000001</v>
      </c>
      <c r="M15">
        <v>4.0000000000000001E-3</v>
      </c>
      <c r="N15">
        <v>804.17899999999997</v>
      </c>
      <c r="O15">
        <v>0.63300000000000001</v>
      </c>
    </row>
    <row r="16" spans="1:19" x14ac:dyDescent="0.25">
      <c r="A16">
        <v>15</v>
      </c>
      <c r="B16" t="s">
        <v>119</v>
      </c>
      <c r="D16">
        <v>-52.502000000000002</v>
      </c>
      <c r="E16">
        <v>5.2130000000000001</v>
      </c>
      <c r="F16">
        <v>-49.478000000000002</v>
      </c>
      <c r="G16">
        <v>3.1179999999999999</v>
      </c>
      <c r="H16">
        <v>-12.242000000000001</v>
      </c>
      <c r="I16">
        <v>0.84899999999999998</v>
      </c>
      <c r="J16">
        <v>3.387</v>
      </c>
      <c r="K16">
        <v>1.7000000000000001E-2</v>
      </c>
      <c r="L16">
        <v>3.4140000000000001</v>
      </c>
      <c r="M16">
        <v>4.0000000000000001E-3</v>
      </c>
      <c r="N16">
        <v>785.452</v>
      </c>
      <c r="O16">
        <v>0.67700000000000005</v>
      </c>
    </row>
    <row r="17" spans="1:18" x14ac:dyDescent="0.25">
      <c r="A17">
        <v>16</v>
      </c>
      <c r="B17" t="s">
        <v>120</v>
      </c>
      <c r="D17">
        <v>-49.533999999999999</v>
      </c>
      <c r="E17">
        <v>6.23</v>
      </c>
      <c r="F17">
        <v>-47.186999999999998</v>
      </c>
      <c r="G17">
        <v>3.2170000000000001</v>
      </c>
      <c r="H17">
        <v>-12.004</v>
      </c>
      <c r="I17">
        <v>0.78900000000000003</v>
      </c>
      <c r="J17">
        <v>3.1339999999999999</v>
      </c>
      <c r="K17">
        <v>1.6E-2</v>
      </c>
      <c r="L17">
        <v>3.1680000000000001</v>
      </c>
      <c r="M17">
        <v>4.0000000000000001E-3</v>
      </c>
      <c r="N17">
        <v>727.04399999999998</v>
      </c>
      <c r="O17">
        <v>0.56799999999999995</v>
      </c>
    </row>
    <row r="18" spans="1:18" x14ac:dyDescent="0.25">
      <c r="A18">
        <v>17</v>
      </c>
      <c r="B18" t="s">
        <v>64</v>
      </c>
      <c r="D18">
        <v>-45.372999999999998</v>
      </c>
      <c r="E18">
        <v>6.6529999999999996</v>
      </c>
      <c r="F18">
        <v>-45.84</v>
      </c>
      <c r="G18">
        <v>4.4459999999999997</v>
      </c>
      <c r="H18">
        <v>-39.414999999999999</v>
      </c>
      <c r="I18">
        <v>1.0660000000000001</v>
      </c>
      <c r="J18">
        <v>2.8220000000000001</v>
      </c>
      <c r="K18">
        <v>1.4999999999999999E-2</v>
      </c>
      <c r="L18">
        <v>2.8460000000000001</v>
      </c>
      <c r="M18">
        <v>3.0000000000000001E-3</v>
      </c>
      <c r="N18">
        <v>472.63400000000001</v>
      </c>
      <c r="O18">
        <v>0.36899999999999999</v>
      </c>
    </row>
    <row r="19" spans="1:18" x14ac:dyDescent="0.25">
      <c r="A19">
        <v>18</v>
      </c>
      <c r="B19" t="s">
        <v>121</v>
      </c>
      <c r="D19">
        <v>-49.933</v>
      </c>
      <c r="E19">
        <v>5.6159999999999997</v>
      </c>
      <c r="F19">
        <v>-49.427</v>
      </c>
      <c r="G19">
        <v>4.0179999999999998</v>
      </c>
      <c r="H19">
        <v>-19.32</v>
      </c>
      <c r="I19">
        <v>0.50700000000000001</v>
      </c>
      <c r="J19">
        <v>2.6789999999999998</v>
      </c>
      <c r="K19">
        <v>1.2E-2</v>
      </c>
      <c r="L19">
        <v>2.7050000000000001</v>
      </c>
      <c r="M19">
        <v>4.0000000000000001E-3</v>
      </c>
      <c r="N19">
        <v>180.99299999999999</v>
      </c>
      <c r="O19">
        <v>0.88800000000000001</v>
      </c>
    </row>
    <row r="20" spans="1:18" x14ac:dyDescent="0.25">
      <c r="A20">
        <v>19</v>
      </c>
      <c r="B20" t="s">
        <v>122</v>
      </c>
      <c r="D20">
        <v>-45.984000000000002</v>
      </c>
      <c r="E20">
        <v>0.33700000000000002</v>
      </c>
      <c r="H20">
        <v>-15.558999999999999</v>
      </c>
      <c r="I20">
        <v>0.86</v>
      </c>
      <c r="J20">
        <v>110.65</v>
      </c>
      <c r="K20">
        <v>0.124</v>
      </c>
      <c r="L20">
        <v>111.931</v>
      </c>
      <c r="M20">
        <v>0</v>
      </c>
      <c r="N20">
        <v>639.53700000000003</v>
      </c>
      <c r="O20">
        <v>0.58399999999999996</v>
      </c>
      <c r="R20" t="s">
        <v>123</v>
      </c>
    </row>
    <row r="21" spans="1:18" x14ac:dyDescent="0.25">
      <c r="A21">
        <v>20</v>
      </c>
    </row>
    <row r="22" spans="1:18" x14ac:dyDescent="0.25">
      <c r="A22">
        <v>21</v>
      </c>
    </row>
    <row r="23" spans="1:18" x14ac:dyDescent="0.25">
      <c r="A23">
        <v>22</v>
      </c>
    </row>
    <row r="24" spans="1:18" x14ac:dyDescent="0.25">
      <c r="A24">
        <v>23</v>
      </c>
    </row>
    <row r="25" spans="1:18" x14ac:dyDescent="0.25">
      <c r="A25">
        <v>24</v>
      </c>
    </row>
    <row r="26" spans="1:18" x14ac:dyDescent="0.25">
      <c r="A26">
        <v>25</v>
      </c>
    </row>
    <row r="27" spans="1:18" x14ac:dyDescent="0.25">
      <c r="A27">
        <v>26</v>
      </c>
    </row>
    <row r="28" spans="1:18" x14ac:dyDescent="0.25">
      <c r="A28">
        <v>27</v>
      </c>
    </row>
    <row r="29" spans="1:18" x14ac:dyDescent="0.25">
      <c r="A29">
        <v>28</v>
      </c>
    </row>
    <row r="30" spans="1:18" x14ac:dyDescent="0.25">
      <c r="A30">
        <v>29</v>
      </c>
    </row>
    <row r="31" spans="1:18" x14ac:dyDescent="0.25">
      <c r="A3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3524-DE42-2A4A-8A0B-B421E9DAADFF}">
  <dimension ref="A1:S25"/>
  <sheetViews>
    <sheetView workbookViewId="0">
      <selection activeCell="A10" activeCellId="1" sqref="A1:S25"/>
    </sheetView>
  </sheetViews>
  <sheetFormatPr defaultColWidth="11" defaultRowHeight="15.7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19" x14ac:dyDescent="0.25">
      <c r="A2">
        <v>1</v>
      </c>
      <c r="B2" t="s">
        <v>15</v>
      </c>
    </row>
    <row r="3" spans="1:19" x14ac:dyDescent="0.25">
      <c r="A3">
        <v>2</v>
      </c>
      <c r="B3" t="s">
        <v>48</v>
      </c>
      <c r="D3">
        <v>-42.174999999999997</v>
      </c>
      <c r="E3">
        <v>5.4669999999999996</v>
      </c>
      <c r="F3">
        <v>-45.139000000000003</v>
      </c>
      <c r="G3">
        <v>4.1879999999999997</v>
      </c>
      <c r="H3">
        <v>-40.68</v>
      </c>
      <c r="I3">
        <v>0.88100000000000001</v>
      </c>
      <c r="J3">
        <v>2.75</v>
      </c>
      <c r="K3">
        <v>1.4E-2</v>
      </c>
      <c r="L3">
        <v>2.7639999999999998</v>
      </c>
      <c r="M3">
        <v>3.0000000000000001E-3</v>
      </c>
      <c r="N3">
        <v>475.45800000000003</v>
      </c>
      <c r="O3">
        <v>0.41</v>
      </c>
    </row>
    <row r="4" spans="1:19" x14ac:dyDescent="0.25">
      <c r="A4">
        <v>3</v>
      </c>
      <c r="B4" t="s">
        <v>124</v>
      </c>
      <c r="D4">
        <v>-53.402000000000001</v>
      </c>
      <c r="E4">
        <v>6.3170000000000002</v>
      </c>
      <c r="F4">
        <v>-49.530999999999999</v>
      </c>
      <c r="G4">
        <v>3.145</v>
      </c>
      <c r="H4">
        <v>-12.561</v>
      </c>
      <c r="I4">
        <v>0.73499999999999999</v>
      </c>
      <c r="J4">
        <v>3.25</v>
      </c>
      <c r="K4">
        <v>1.7000000000000001E-2</v>
      </c>
      <c r="L4">
        <v>3.2730000000000001</v>
      </c>
      <c r="M4">
        <v>4.0000000000000001E-3</v>
      </c>
      <c r="N4">
        <v>714.38300000000004</v>
      </c>
      <c r="O4">
        <v>0.58699999999999997</v>
      </c>
    </row>
    <row r="5" spans="1:19" x14ac:dyDescent="0.25">
      <c r="A5">
        <v>4</v>
      </c>
      <c r="B5" t="s">
        <v>125</v>
      </c>
      <c r="D5">
        <v>-51.582000000000001</v>
      </c>
      <c r="E5">
        <v>6.2640000000000002</v>
      </c>
      <c r="F5">
        <v>-47.439</v>
      </c>
      <c r="G5">
        <v>3.52</v>
      </c>
      <c r="H5">
        <v>-13.436</v>
      </c>
      <c r="I5">
        <v>0.67300000000000004</v>
      </c>
      <c r="J5">
        <v>3.1120000000000001</v>
      </c>
      <c r="K5">
        <v>1.4999999999999999E-2</v>
      </c>
      <c r="L5">
        <v>3.145</v>
      </c>
      <c r="M5">
        <v>4.0000000000000001E-3</v>
      </c>
      <c r="N5">
        <v>674.09900000000005</v>
      </c>
      <c r="O5">
        <v>0.67</v>
      </c>
    </row>
    <row r="6" spans="1:19" x14ac:dyDescent="0.25">
      <c r="A6">
        <v>5</v>
      </c>
      <c r="B6" t="s">
        <v>126</v>
      </c>
      <c r="D6">
        <v>-49.828000000000003</v>
      </c>
      <c r="E6">
        <v>6.2569999999999997</v>
      </c>
      <c r="F6">
        <v>-46.668999999999997</v>
      </c>
      <c r="G6">
        <v>5.5570000000000004</v>
      </c>
      <c r="H6">
        <v>-11.397</v>
      </c>
      <c r="I6">
        <v>0.77800000000000002</v>
      </c>
      <c r="J6">
        <v>3.052</v>
      </c>
      <c r="K6">
        <v>1.0999999999999999E-2</v>
      </c>
      <c r="L6">
        <v>3.008</v>
      </c>
      <c r="M6">
        <v>5.0000000000000001E-3</v>
      </c>
      <c r="N6">
        <v>740.04899999999998</v>
      </c>
      <c r="O6">
        <v>0.77200000000000002</v>
      </c>
    </row>
    <row r="7" spans="1:19" x14ac:dyDescent="0.25">
      <c r="A7">
        <v>6</v>
      </c>
      <c r="B7" t="s">
        <v>127</v>
      </c>
      <c r="D7">
        <v>-54.301000000000002</v>
      </c>
      <c r="E7">
        <v>5.5519999999999996</v>
      </c>
      <c r="F7">
        <v>-49.024000000000001</v>
      </c>
      <c r="G7">
        <v>3.34</v>
      </c>
      <c r="H7">
        <v>-11.108000000000001</v>
      </c>
      <c r="I7">
        <v>0.59399999999999997</v>
      </c>
      <c r="J7">
        <v>3.1459999999999999</v>
      </c>
      <c r="K7">
        <v>1.4999999999999999E-2</v>
      </c>
      <c r="L7">
        <v>3.1720000000000002</v>
      </c>
      <c r="M7">
        <v>4.0000000000000001E-3</v>
      </c>
      <c r="N7">
        <v>815.96699999999998</v>
      </c>
      <c r="O7">
        <v>0.68799999999999994</v>
      </c>
    </row>
    <row r="8" spans="1:19" x14ac:dyDescent="0.25">
      <c r="A8">
        <v>7</v>
      </c>
      <c r="B8" t="s">
        <v>128</v>
      </c>
      <c r="D8">
        <v>-51.014000000000003</v>
      </c>
      <c r="E8">
        <v>6.4249999999999998</v>
      </c>
      <c r="F8">
        <v>-49.119</v>
      </c>
      <c r="G8">
        <v>4.0069999999999997</v>
      </c>
      <c r="H8">
        <v>-11.266</v>
      </c>
      <c r="I8">
        <v>0.622</v>
      </c>
      <c r="J8">
        <v>3.1160000000000001</v>
      </c>
      <c r="K8">
        <v>1.7000000000000001E-2</v>
      </c>
      <c r="L8">
        <v>3.1509999999999998</v>
      </c>
      <c r="M8">
        <v>4.0000000000000001E-3</v>
      </c>
      <c r="N8">
        <v>844.72699999999998</v>
      </c>
      <c r="O8">
        <v>0.67400000000000004</v>
      </c>
    </row>
    <row r="9" spans="1:19" x14ac:dyDescent="0.25">
      <c r="A9">
        <v>8</v>
      </c>
      <c r="B9" t="s">
        <v>129</v>
      </c>
      <c r="D9">
        <v>-51.116</v>
      </c>
      <c r="E9">
        <v>5.9829999999999997</v>
      </c>
      <c r="F9">
        <v>-48.057000000000002</v>
      </c>
      <c r="G9">
        <v>4.2309999999999999</v>
      </c>
      <c r="H9">
        <v>-11.859</v>
      </c>
      <c r="I9">
        <v>0.79100000000000004</v>
      </c>
      <c r="J9">
        <v>3.0209999999999999</v>
      </c>
      <c r="K9">
        <v>1.4999999999999999E-2</v>
      </c>
      <c r="L9">
        <v>3.0470000000000002</v>
      </c>
      <c r="M9">
        <v>4.0000000000000001E-3</v>
      </c>
      <c r="N9">
        <v>684.26499999999999</v>
      </c>
      <c r="O9">
        <v>0.495</v>
      </c>
    </row>
    <row r="10" spans="1:19" x14ac:dyDescent="0.25">
      <c r="A10">
        <v>9</v>
      </c>
      <c r="B10" t="s">
        <v>56</v>
      </c>
      <c r="D10">
        <v>-46.648000000000003</v>
      </c>
      <c r="E10">
        <v>5.141</v>
      </c>
      <c r="F10">
        <v>-46.558</v>
      </c>
      <c r="G10">
        <v>2.9910000000000001</v>
      </c>
      <c r="H10">
        <v>-40.006999999999998</v>
      </c>
      <c r="I10">
        <v>0.93400000000000005</v>
      </c>
      <c r="J10">
        <v>2.871</v>
      </c>
      <c r="K10">
        <v>1.2999999999999999E-2</v>
      </c>
      <c r="L10">
        <v>2.8820000000000001</v>
      </c>
      <c r="M10">
        <v>3.0000000000000001E-3</v>
      </c>
      <c r="N10">
        <v>477.637</v>
      </c>
      <c r="O10">
        <v>0.39900000000000002</v>
      </c>
    </row>
    <row r="11" spans="1:19" x14ac:dyDescent="0.25">
      <c r="A11">
        <v>10</v>
      </c>
      <c r="B11" t="s">
        <v>130</v>
      </c>
      <c r="D11">
        <v>-48.991</v>
      </c>
      <c r="E11">
        <v>5.4779999999999998</v>
      </c>
      <c r="F11">
        <v>-48.75</v>
      </c>
      <c r="G11">
        <v>3.1669999999999998</v>
      </c>
      <c r="H11">
        <v>-11.57</v>
      </c>
      <c r="I11">
        <v>0.85299999999999998</v>
      </c>
      <c r="J11">
        <v>2.9220000000000002</v>
      </c>
      <c r="K11">
        <v>1.2E-2</v>
      </c>
      <c r="L11">
        <v>2.944</v>
      </c>
      <c r="M11">
        <v>3.0000000000000001E-3</v>
      </c>
      <c r="N11">
        <v>733.10400000000004</v>
      </c>
      <c r="O11">
        <v>0.61699999999999999</v>
      </c>
    </row>
    <row r="12" spans="1:19" x14ac:dyDescent="0.25">
      <c r="A12">
        <v>11</v>
      </c>
      <c r="B12" t="s">
        <v>131</v>
      </c>
      <c r="D12">
        <v>-50.816000000000003</v>
      </c>
      <c r="E12">
        <v>5.8550000000000004</v>
      </c>
      <c r="F12">
        <v>-48.765999999999998</v>
      </c>
      <c r="G12">
        <v>3.4460000000000002</v>
      </c>
      <c r="H12">
        <v>-12.282999999999999</v>
      </c>
      <c r="I12">
        <v>0.69299999999999995</v>
      </c>
      <c r="J12">
        <v>3.0529999999999999</v>
      </c>
      <c r="K12">
        <v>1.6E-2</v>
      </c>
      <c r="L12">
        <v>3.0870000000000002</v>
      </c>
      <c r="M12">
        <v>4.0000000000000001E-3</v>
      </c>
      <c r="N12">
        <v>713.83399999999995</v>
      </c>
      <c r="O12">
        <v>0.624</v>
      </c>
    </row>
    <row r="13" spans="1:19" x14ac:dyDescent="0.25">
      <c r="A13">
        <v>12</v>
      </c>
      <c r="B13" t="s">
        <v>132</v>
      </c>
      <c r="D13">
        <v>-49.209000000000003</v>
      </c>
      <c r="E13">
        <v>4.9180000000000001</v>
      </c>
      <c r="F13">
        <v>-47.58</v>
      </c>
      <c r="G13">
        <v>4.1459999999999999</v>
      </c>
      <c r="H13">
        <v>-16.821000000000002</v>
      </c>
      <c r="I13">
        <v>0.57299999999999995</v>
      </c>
      <c r="J13">
        <v>3.085</v>
      </c>
      <c r="K13">
        <v>1.2999999999999999E-2</v>
      </c>
      <c r="L13">
        <v>3.12</v>
      </c>
      <c r="M13">
        <v>4.0000000000000001E-3</v>
      </c>
      <c r="N13">
        <v>1044.9939999999999</v>
      </c>
      <c r="O13">
        <v>0.79100000000000004</v>
      </c>
    </row>
    <row r="14" spans="1:19" x14ac:dyDescent="0.25">
      <c r="A14">
        <v>13</v>
      </c>
      <c r="B14" t="s">
        <v>133</v>
      </c>
      <c r="D14">
        <v>-49.588999999999999</v>
      </c>
      <c r="E14">
        <v>6.1120000000000001</v>
      </c>
      <c r="F14">
        <v>-47.076000000000001</v>
      </c>
      <c r="G14">
        <v>4.1070000000000002</v>
      </c>
      <c r="H14">
        <v>-12.537000000000001</v>
      </c>
      <c r="I14">
        <v>0.69099999999999995</v>
      </c>
      <c r="J14">
        <v>3.06</v>
      </c>
      <c r="K14">
        <v>1.7000000000000001E-2</v>
      </c>
      <c r="L14">
        <v>3.0910000000000002</v>
      </c>
      <c r="M14">
        <v>3.0000000000000001E-3</v>
      </c>
      <c r="N14">
        <v>708.82100000000003</v>
      </c>
      <c r="O14">
        <v>0.47</v>
      </c>
    </row>
    <row r="15" spans="1:19" x14ac:dyDescent="0.25">
      <c r="A15">
        <v>14</v>
      </c>
      <c r="B15" t="s">
        <v>134</v>
      </c>
      <c r="D15">
        <v>-49.484999999999999</v>
      </c>
      <c r="E15">
        <v>6.5430000000000001</v>
      </c>
      <c r="F15">
        <v>-48.634</v>
      </c>
      <c r="G15">
        <v>4.7759999999999998</v>
      </c>
      <c r="H15">
        <v>-21.015000000000001</v>
      </c>
      <c r="I15">
        <v>0.51200000000000001</v>
      </c>
      <c r="J15">
        <v>3.097</v>
      </c>
      <c r="K15">
        <v>1.4999999999999999E-2</v>
      </c>
      <c r="L15">
        <v>3.1309999999999998</v>
      </c>
      <c r="M15">
        <v>3.0000000000000001E-3</v>
      </c>
      <c r="N15">
        <v>1682.7</v>
      </c>
      <c r="O15">
        <v>0.85399999999999998</v>
      </c>
    </row>
    <row r="16" spans="1:19" x14ac:dyDescent="0.25">
      <c r="A16" s="8">
        <v>15</v>
      </c>
      <c r="B16" s="8" t="s">
        <v>135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 t="s">
        <v>136</v>
      </c>
      <c r="S16" s="8"/>
    </row>
    <row r="17" spans="1:15" x14ac:dyDescent="0.25">
      <c r="A17">
        <v>16</v>
      </c>
      <c r="B17" t="s">
        <v>135</v>
      </c>
      <c r="C17">
        <f>(45-20)/(45-20+20)</f>
        <v>0.55555555555555558</v>
      </c>
      <c r="D17">
        <v>-47.429000000000002</v>
      </c>
      <c r="E17">
        <v>11.539</v>
      </c>
      <c r="F17">
        <v>-45.317</v>
      </c>
      <c r="G17">
        <v>6.016</v>
      </c>
      <c r="H17">
        <v>-14.923999999999999</v>
      </c>
      <c r="I17">
        <v>0.75600000000000001</v>
      </c>
      <c r="J17">
        <v>1.6339999999999999</v>
      </c>
      <c r="K17">
        <v>1.4999999999999999E-2</v>
      </c>
      <c r="L17">
        <v>1.6559999999999999</v>
      </c>
      <c r="M17">
        <v>2E-3</v>
      </c>
      <c r="N17">
        <v>645.34199999999998</v>
      </c>
      <c r="O17">
        <v>0.372</v>
      </c>
    </row>
    <row r="18" spans="1:15" x14ac:dyDescent="0.25">
      <c r="A18">
        <v>17</v>
      </c>
    </row>
    <row r="19" spans="1:15" x14ac:dyDescent="0.25">
      <c r="A19">
        <v>18</v>
      </c>
    </row>
    <row r="20" spans="1:15" x14ac:dyDescent="0.25">
      <c r="A20">
        <v>19</v>
      </c>
    </row>
    <row r="21" spans="1:15" x14ac:dyDescent="0.25">
      <c r="A21">
        <v>20</v>
      </c>
    </row>
    <row r="22" spans="1:15" x14ac:dyDescent="0.25">
      <c r="A22">
        <v>21</v>
      </c>
    </row>
    <row r="23" spans="1:15" x14ac:dyDescent="0.25">
      <c r="A23">
        <v>22</v>
      </c>
    </row>
    <row r="24" spans="1:15" x14ac:dyDescent="0.25">
      <c r="A24">
        <v>23</v>
      </c>
    </row>
    <row r="25" spans="1:15" x14ac:dyDescent="0.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C872-81AF-DF4E-9F97-663D276F1258}">
  <dimension ref="A1:R21"/>
  <sheetViews>
    <sheetView workbookViewId="0">
      <selection activeCell="A14" activeCellId="1" sqref="A1:R21"/>
    </sheetView>
  </sheetViews>
  <sheetFormatPr defaultColWidth="11" defaultRowHeight="15.75" x14ac:dyDescent="0.25"/>
  <cols>
    <col min="2" max="2" width="17.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18" x14ac:dyDescent="0.25">
      <c r="A2">
        <v>1</v>
      </c>
      <c r="B2" t="s">
        <v>15</v>
      </c>
      <c r="R2" t="s">
        <v>137</v>
      </c>
    </row>
    <row r="3" spans="1:18" x14ac:dyDescent="0.25">
      <c r="A3">
        <v>2</v>
      </c>
      <c r="B3" t="s">
        <v>15</v>
      </c>
      <c r="R3" t="s">
        <v>137</v>
      </c>
    </row>
    <row r="4" spans="1:18" x14ac:dyDescent="0.25">
      <c r="A4">
        <v>3</v>
      </c>
      <c r="B4" t="s">
        <v>15</v>
      </c>
    </row>
    <row r="5" spans="1:18" x14ac:dyDescent="0.25">
      <c r="A5">
        <v>4</v>
      </c>
      <c r="B5" t="s">
        <v>48</v>
      </c>
      <c r="D5">
        <v>-41.134999999999998</v>
      </c>
      <c r="E5">
        <v>5.74</v>
      </c>
      <c r="F5">
        <v>-43.241</v>
      </c>
      <c r="G5">
        <v>3.3559999999999999</v>
      </c>
      <c r="H5">
        <v>-41.194000000000003</v>
      </c>
      <c r="I5">
        <v>0.996</v>
      </c>
      <c r="J5">
        <v>2.887</v>
      </c>
      <c r="K5">
        <v>1.6E-2</v>
      </c>
      <c r="L5">
        <v>2.8969999999999998</v>
      </c>
      <c r="M5">
        <v>3.0000000000000001E-3</v>
      </c>
      <c r="N5">
        <v>539.95399999999995</v>
      </c>
      <c r="O5">
        <v>0.38500000000000001</v>
      </c>
    </row>
    <row r="6" spans="1:18" x14ac:dyDescent="0.25">
      <c r="A6">
        <v>5</v>
      </c>
      <c r="B6" t="s">
        <v>138</v>
      </c>
      <c r="D6">
        <v>-47.668999999999997</v>
      </c>
      <c r="E6">
        <v>5.39</v>
      </c>
      <c r="F6">
        <v>-47.231999999999999</v>
      </c>
      <c r="G6">
        <v>3.09</v>
      </c>
      <c r="H6">
        <v>-11.138</v>
      </c>
      <c r="I6">
        <v>0.57899999999999996</v>
      </c>
      <c r="J6">
        <v>3.218</v>
      </c>
      <c r="K6">
        <v>1.4E-2</v>
      </c>
      <c r="L6">
        <v>3.238</v>
      </c>
      <c r="M6">
        <v>3.0000000000000001E-3</v>
      </c>
      <c r="N6">
        <v>801.61400000000003</v>
      </c>
      <c r="O6">
        <v>0.45700000000000002</v>
      </c>
    </row>
    <row r="7" spans="1:18" x14ac:dyDescent="0.25">
      <c r="A7">
        <v>6</v>
      </c>
      <c r="B7" t="s">
        <v>139</v>
      </c>
      <c r="D7">
        <v>-50.601999999999997</v>
      </c>
      <c r="E7">
        <v>6.9189999999999996</v>
      </c>
      <c r="F7">
        <v>-48.241</v>
      </c>
      <c r="G7">
        <v>2.895</v>
      </c>
      <c r="H7">
        <v>-12.382999999999999</v>
      </c>
      <c r="I7">
        <v>0.71599999999999997</v>
      </c>
      <c r="J7">
        <v>3.2</v>
      </c>
      <c r="K7">
        <v>1.7999999999999999E-2</v>
      </c>
      <c r="L7">
        <v>3.2290000000000001</v>
      </c>
      <c r="M7">
        <v>4.0000000000000001E-3</v>
      </c>
      <c r="N7">
        <v>723.58199999999999</v>
      </c>
      <c r="O7">
        <v>0.47</v>
      </c>
    </row>
    <row r="8" spans="1:18" x14ac:dyDescent="0.25">
      <c r="A8">
        <v>7</v>
      </c>
      <c r="B8" t="s">
        <v>140</v>
      </c>
      <c r="D8">
        <v>-50.396000000000001</v>
      </c>
      <c r="E8">
        <v>5.7880000000000003</v>
      </c>
      <c r="F8">
        <v>-46.6</v>
      </c>
      <c r="G8">
        <v>4.0759999999999996</v>
      </c>
      <c r="H8">
        <v>-12.53</v>
      </c>
      <c r="I8">
        <v>0.69</v>
      </c>
      <c r="J8">
        <v>3.1709999999999998</v>
      </c>
      <c r="K8">
        <v>1.4999999999999999E-2</v>
      </c>
      <c r="L8">
        <v>3.2029999999999998</v>
      </c>
      <c r="M8">
        <v>2E-3</v>
      </c>
      <c r="N8">
        <v>849.30600000000004</v>
      </c>
      <c r="O8">
        <v>0.45500000000000002</v>
      </c>
    </row>
    <row r="9" spans="1:18" x14ac:dyDescent="0.25">
      <c r="A9">
        <v>8</v>
      </c>
      <c r="B9" t="s">
        <v>141</v>
      </c>
      <c r="D9">
        <v>-46.790999999999997</v>
      </c>
      <c r="E9">
        <v>6.3159999999999998</v>
      </c>
      <c r="F9">
        <v>-47.279000000000003</v>
      </c>
      <c r="G9">
        <v>4.3239999999999998</v>
      </c>
      <c r="H9">
        <v>-11.307</v>
      </c>
      <c r="I9">
        <v>0.58799999999999997</v>
      </c>
      <c r="J9">
        <v>2.948</v>
      </c>
      <c r="K9">
        <v>1.2999999999999999E-2</v>
      </c>
      <c r="L9">
        <v>2.9769999999999999</v>
      </c>
      <c r="M9">
        <v>4.0000000000000001E-3</v>
      </c>
      <c r="N9">
        <v>745.96799999999996</v>
      </c>
      <c r="O9">
        <v>0.66700000000000004</v>
      </c>
    </row>
    <row r="10" spans="1:18" x14ac:dyDescent="0.25">
      <c r="A10">
        <v>9</v>
      </c>
      <c r="B10" t="s">
        <v>142</v>
      </c>
      <c r="D10">
        <v>-61.042000000000002</v>
      </c>
      <c r="E10">
        <v>0.32100000000000001</v>
      </c>
      <c r="H10">
        <v>-2.0750000000000002</v>
      </c>
      <c r="I10">
        <v>0.95199999999999996</v>
      </c>
      <c r="J10">
        <v>251.55</v>
      </c>
      <c r="K10">
        <v>0.253</v>
      </c>
      <c r="L10">
        <v>248.15899999999999</v>
      </c>
      <c r="M10">
        <v>0.96</v>
      </c>
      <c r="N10">
        <v>649.81200000000001</v>
      </c>
      <c r="O10">
        <v>0.48099999999999998</v>
      </c>
      <c r="R10" t="s">
        <v>143</v>
      </c>
    </row>
    <row r="11" spans="1:18" x14ac:dyDescent="0.25">
      <c r="A11">
        <v>10</v>
      </c>
      <c r="B11" t="s">
        <v>15</v>
      </c>
      <c r="J11">
        <v>3.6810999999999998</v>
      </c>
      <c r="K11">
        <v>1.4E-2</v>
      </c>
      <c r="L11">
        <v>3.6949999999999998</v>
      </c>
      <c r="M11">
        <v>4.0000000000000001E-3</v>
      </c>
      <c r="N11">
        <v>12.602</v>
      </c>
      <c r="O11">
        <v>0.1148</v>
      </c>
    </row>
    <row r="12" spans="1:18" x14ac:dyDescent="0.25">
      <c r="A12">
        <v>11</v>
      </c>
      <c r="B12" t="s">
        <v>15</v>
      </c>
      <c r="J12">
        <v>0.08</v>
      </c>
      <c r="K12">
        <v>1.2999999999999999E-2</v>
      </c>
      <c r="L12">
        <v>6.9000000000000006E-2</v>
      </c>
      <c r="M12">
        <v>1.0999999999999999E-2</v>
      </c>
      <c r="N12">
        <v>9.6989999999999998</v>
      </c>
      <c r="O12">
        <v>0.13700000000000001</v>
      </c>
    </row>
    <row r="13" spans="1:18" x14ac:dyDescent="0.25">
      <c r="A13">
        <v>12</v>
      </c>
      <c r="B13" t="s">
        <v>144</v>
      </c>
      <c r="D13">
        <v>-50.554000000000002</v>
      </c>
      <c r="E13">
        <v>4.9749999999999996</v>
      </c>
      <c r="F13">
        <v>-49.003</v>
      </c>
      <c r="G13">
        <v>3.601</v>
      </c>
      <c r="H13">
        <v>-1.542</v>
      </c>
      <c r="I13">
        <v>0.85799999999999998</v>
      </c>
      <c r="J13">
        <v>3.0859999999999999</v>
      </c>
      <c r="K13">
        <v>1.2999999999999999E-2</v>
      </c>
      <c r="L13">
        <v>3.113</v>
      </c>
      <c r="M13">
        <v>4.0000000000000001E-3</v>
      </c>
      <c r="N13">
        <v>671.48</v>
      </c>
      <c r="O13">
        <v>0.46600000000000003</v>
      </c>
    </row>
    <row r="14" spans="1:18" x14ac:dyDescent="0.25">
      <c r="A14">
        <v>13</v>
      </c>
      <c r="B14" t="s">
        <v>64</v>
      </c>
      <c r="D14">
        <v>-47.365000000000002</v>
      </c>
      <c r="E14">
        <v>7.1870000000000003</v>
      </c>
      <c r="F14">
        <v>-46.378999999999998</v>
      </c>
      <c r="G14">
        <v>3.7410000000000001</v>
      </c>
      <c r="H14">
        <v>-38.613</v>
      </c>
      <c r="I14">
        <v>0.82299999999999995</v>
      </c>
      <c r="J14">
        <v>2.8170000000000002</v>
      </c>
      <c r="K14">
        <v>1.7999999999999999E-2</v>
      </c>
      <c r="L14">
        <v>2.8420000000000001</v>
      </c>
      <c r="M14">
        <v>4.0000000000000001E-3</v>
      </c>
      <c r="N14">
        <v>464.36599999999999</v>
      </c>
      <c r="O14">
        <v>0.40899999999999997</v>
      </c>
    </row>
    <row r="15" spans="1:18" x14ac:dyDescent="0.25">
      <c r="A15">
        <v>14</v>
      </c>
      <c r="B15" t="s">
        <v>145</v>
      </c>
      <c r="D15">
        <v>-66.233000000000004</v>
      </c>
      <c r="E15">
        <v>6.2210000000000001</v>
      </c>
      <c r="F15">
        <v>-51.826000000000001</v>
      </c>
      <c r="G15">
        <v>4.6319999999999997</v>
      </c>
      <c r="H15">
        <v>-12.548999999999999</v>
      </c>
      <c r="I15">
        <v>0.77900000000000003</v>
      </c>
      <c r="J15">
        <v>2.5670000000000002</v>
      </c>
      <c r="K15">
        <v>1.6E-2</v>
      </c>
      <c r="L15">
        <v>2.548</v>
      </c>
      <c r="M15">
        <v>7.0000000000000001E-3</v>
      </c>
      <c r="N15">
        <v>730.35</v>
      </c>
      <c r="O15">
        <v>1.2549999999999999</v>
      </c>
    </row>
    <row r="16" spans="1:18" x14ac:dyDescent="0.25">
      <c r="A16">
        <v>15</v>
      </c>
      <c r="B16" t="s">
        <v>145</v>
      </c>
      <c r="D16">
        <v>-62.72</v>
      </c>
      <c r="E16">
        <v>9.5549999999999997</v>
      </c>
      <c r="F16">
        <v>-58.021999999999998</v>
      </c>
      <c r="G16">
        <v>4.9169999999999998</v>
      </c>
      <c r="H16">
        <v>-12.537000000000001</v>
      </c>
      <c r="I16">
        <v>0.76900000000000002</v>
      </c>
      <c r="J16">
        <v>2.2570000000000001</v>
      </c>
      <c r="K16">
        <v>1.9E-2</v>
      </c>
      <c r="L16">
        <v>2.2599999999999998</v>
      </c>
      <c r="M16">
        <v>6.0000000000000001E-3</v>
      </c>
      <c r="N16">
        <v>638.98400000000004</v>
      </c>
      <c r="O16">
        <v>1.202</v>
      </c>
    </row>
    <row r="17" spans="1:15" x14ac:dyDescent="0.25">
      <c r="A17">
        <v>16</v>
      </c>
      <c r="B17" t="s">
        <v>121</v>
      </c>
      <c r="D17">
        <v>-51.372999999999998</v>
      </c>
      <c r="E17">
        <v>6.8179999999999996</v>
      </c>
      <c r="F17">
        <v>-50.069000000000003</v>
      </c>
      <c r="G17">
        <v>5.1340000000000003</v>
      </c>
      <c r="H17">
        <v>-12.813000000000001</v>
      </c>
      <c r="I17">
        <v>0.45500000000000002</v>
      </c>
      <c r="J17">
        <v>2.6779999999999999</v>
      </c>
      <c r="K17">
        <v>1.4E-2</v>
      </c>
      <c r="L17">
        <v>2.6960000000000002</v>
      </c>
      <c r="M17">
        <v>4.0000000000000001E-3</v>
      </c>
      <c r="N17">
        <v>2491.2710000000002</v>
      </c>
      <c r="O17">
        <v>1.8939999999999999</v>
      </c>
    </row>
    <row r="18" spans="1:15" x14ac:dyDescent="0.25">
      <c r="A18">
        <v>17</v>
      </c>
      <c r="B18" t="s">
        <v>146</v>
      </c>
      <c r="D18">
        <v>-58.536000000000001</v>
      </c>
      <c r="E18">
        <v>7.91</v>
      </c>
      <c r="F18">
        <v>-55.430999999999997</v>
      </c>
      <c r="G18">
        <v>6.0990000000000002</v>
      </c>
      <c r="H18">
        <v>-9.3640000000000008</v>
      </c>
      <c r="I18">
        <v>0.42699999999999999</v>
      </c>
      <c r="J18">
        <v>1.8540000000000001</v>
      </c>
      <c r="K18">
        <v>1.0999999999999999E-2</v>
      </c>
      <c r="L18">
        <v>1.8660000000000001</v>
      </c>
      <c r="M18">
        <v>2E-3</v>
      </c>
      <c r="N18">
        <v>1950.9739999999999</v>
      </c>
      <c r="O18">
        <v>1.365</v>
      </c>
    </row>
    <row r="19" spans="1:15" x14ac:dyDescent="0.25">
      <c r="A19">
        <v>18</v>
      </c>
      <c r="B19" t="s">
        <v>65</v>
      </c>
      <c r="C19">
        <f>5/45</f>
        <v>0.1111111111111111</v>
      </c>
      <c r="D19">
        <v>-52.298000000000002</v>
      </c>
      <c r="E19">
        <v>0.28499999999999998</v>
      </c>
      <c r="J19">
        <v>658.42399999999998</v>
      </c>
      <c r="K19">
        <v>0.59899999999999998</v>
      </c>
    </row>
    <row r="20" spans="1:15" x14ac:dyDescent="0.25">
      <c r="A20">
        <v>19</v>
      </c>
    </row>
    <row r="21" spans="1:15" x14ac:dyDescent="0.25">
      <c r="A2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070D-3702-E64B-BC58-BD680F6F71DB}">
  <dimension ref="A1:R20"/>
  <sheetViews>
    <sheetView workbookViewId="0">
      <selection activeCell="A3" sqref="A3:O6"/>
    </sheetView>
  </sheetViews>
  <sheetFormatPr defaultColWidth="11" defaultRowHeight="15.7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18" x14ac:dyDescent="0.25">
      <c r="A2">
        <v>1</v>
      </c>
      <c r="B2" t="s">
        <v>15</v>
      </c>
    </row>
    <row r="3" spans="1:18" x14ac:dyDescent="0.25">
      <c r="A3">
        <v>2</v>
      </c>
      <c r="B3" t="s">
        <v>48</v>
      </c>
      <c r="D3">
        <v>-41.433</v>
      </c>
      <c r="E3">
        <v>5.8879999999999999</v>
      </c>
      <c r="F3">
        <v>-44.09</v>
      </c>
      <c r="G3">
        <v>3.5720000000000001</v>
      </c>
      <c r="H3">
        <v>-40.549999999999997</v>
      </c>
      <c r="I3">
        <v>0.91900000000000004</v>
      </c>
      <c r="J3">
        <v>2.8420000000000001</v>
      </c>
      <c r="K3">
        <v>1.4999999999999999E-2</v>
      </c>
      <c r="L3">
        <v>2.8540000000000001</v>
      </c>
      <c r="M3">
        <v>3.0000000000000001E-3</v>
      </c>
      <c r="N3">
        <v>483.61799999999999</v>
      </c>
      <c r="O3">
        <v>0.40899999999999997</v>
      </c>
    </row>
    <row r="4" spans="1:18" x14ac:dyDescent="0.25">
      <c r="A4">
        <v>3</v>
      </c>
      <c r="B4" t="s">
        <v>64</v>
      </c>
      <c r="D4">
        <v>-44.151000000000003</v>
      </c>
      <c r="E4">
        <v>5.9130000000000003</v>
      </c>
      <c r="F4">
        <v>-45.100999999999999</v>
      </c>
      <c r="G4">
        <v>4.08</v>
      </c>
      <c r="H4">
        <v>-38.933999999999997</v>
      </c>
      <c r="I4">
        <v>1.036</v>
      </c>
      <c r="J4">
        <v>2.8359999999999999</v>
      </c>
      <c r="K4">
        <v>1.6E-2</v>
      </c>
      <c r="L4">
        <v>2.8519999999999999</v>
      </c>
      <c r="M4">
        <v>4.0000000000000001E-3</v>
      </c>
      <c r="N4">
        <v>463.46499999999997</v>
      </c>
      <c r="O4">
        <v>0.41399999999999998</v>
      </c>
    </row>
    <row r="5" spans="1:18" x14ac:dyDescent="0.25">
      <c r="A5">
        <v>4</v>
      </c>
      <c r="B5" t="s">
        <v>49</v>
      </c>
      <c r="D5">
        <v>-51.136000000000003</v>
      </c>
      <c r="E5">
        <v>6.4379999999999997</v>
      </c>
      <c r="F5">
        <v>-49.503999999999998</v>
      </c>
      <c r="G5">
        <v>4.0270000000000001</v>
      </c>
      <c r="H5">
        <v>-38.777000000000001</v>
      </c>
      <c r="I5">
        <v>0.96899999999999997</v>
      </c>
      <c r="J5">
        <v>2.9039999999999999</v>
      </c>
      <c r="K5">
        <v>1.4E-2</v>
      </c>
      <c r="L5">
        <v>2.915</v>
      </c>
      <c r="M5">
        <v>3.0000000000000001E-3</v>
      </c>
      <c r="N5">
        <v>478.24</v>
      </c>
      <c r="O5">
        <v>0.34699999999999998</v>
      </c>
    </row>
    <row r="6" spans="1:18" x14ac:dyDescent="0.25">
      <c r="A6">
        <v>5</v>
      </c>
      <c r="B6" t="s">
        <v>49</v>
      </c>
      <c r="D6">
        <v>-47.515999999999998</v>
      </c>
      <c r="E6">
        <v>5.2220000000000004</v>
      </c>
      <c r="F6">
        <v>-47.441000000000003</v>
      </c>
      <c r="G6">
        <v>3.3149999999999999</v>
      </c>
      <c r="H6">
        <v>-33.122</v>
      </c>
      <c r="I6">
        <v>0.98399999999999999</v>
      </c>
      <c r="J6">
        <v>3.5670000000000002</v>
      </c>
      <c r="K6">
        <v>1.4999999999999999E-2</v>
      </c>
      <c r="L6">
        <v>3.5920000000000001</v>
      </c>
      <c r="M6">
        <v>3.0000000000000001E-3</v>
      </c>
      <c r="N6">
        <v>473.58300000000003</v>
      </c>
      <c r="O6">
        <v>0.36799999999999999</v>
      </c>
    </row>
    <row r="7" spans="1:18" x14ac:dyDescent="0.25">
      <c r="A7">
        <v>6</v>
      </c>
    </row>
    <row r="8" spans="1:18" x14ac:dyDescent="0.25">
      <c r="A8">
        <v>7</v>
      </c>
    </row>
    <row r="9" spans="1:18" x14ac:dyDescent="0.25">
      <c r="A9">
        <v>8</v>
      </c>
    </row>
    <row r="10" spans="1:18" x14ac:dyDescent="0.25">
      <c r="A10">
        <v>9</v>
      </c>
    </row>
    <row r="11" spans="1:18" x14ac:dyDescent="0.25">
      <c r="A11">
        <v>10</v>
      </c>
    </row>
    <row r="12" spans="1:18" x14ac:dyDescent="0.25">
      <c r="A12">
        <v>11</v>
      </c>
    </row>
    <row r="13" spans="1:18" x14ac:dyDescent="0.25">
      <c r="A13">
        <v>12</v>
      </c>
    </row>
    <row r="14" spans="1:18" x14ac:dyDescent="0.25">
      <c r="A14">
        <v>13</v>
      </c>
    </row>
    <row r="15" spans="1:18" x14ac:dyDescent="0.25">
      <c r="A15">
        <v>14</v>
      </c>
    </row>
    <row r="16" spans="1:18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FD89-AA5E-D749-B771-12206B337F01}">
  <dimension ref="A1:T38"/>
  <sheetViews>
    <sheetView workbookViewId="0">
      <selection activeCell="A3" sqref="A3:Q3"/>
    </sheetView>
  </sheetViews>
  <sheetFormatPr defaultColWidth="11" defaultRowHeight="15.75" x14ac:dyDescent="0.25"/>
  <cols>
    <col min="2" max="2" width="18.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20" x14ac:dyDescent="0.25">
      <c r="A2">
        <v>1</v>
      </c>
      <c r="B2" t="s">
        <v>15</v>
      </c>
      <c r="R2" t="s">
        <v>162</v>
      </c>
    </row>
    <row r="3" spans="1:20" x14ac:dyDescent="0.25">
      <c r="A3">
        <v>2</v>
      </c>
      <c r="B3" t="s">
        <v>48</v>
      </c>
      <c r="D3">
        <v>-42.17</v>
      </c>
      <c r="E3">
        <v>5.8289999999999997</v>
      </c>
      <c r="F3">
        <v>-44.404000000000003</v>
      </c>
      <c r="G3">
        <v>3.6760000000000002</v>
      </c>
      <c r="H3">
        <v>-40.920999999999999</v>
      </c>
      <c r="I3">
        <v>1.069</v>
      </c>
      <c r="J3">
        <v>2.8159999999999998</v>
      </c>
      <c r="K3">
        <v>1.7000000000000001E-2</v>
      </c>
      <c r="L3">
        <v>2.8279999999999998</v>
      </c>
      <c r="M3">
        <v>4.0000000000000001E-3</v>
      </c>
      <c r="N3">
        <v>450.31099999999998</v>
      </c>
      <c r="O3">
        <v>0.42399999999999999</v>
      </c>
      <c r="P3">
        <v>4.3999999999999997E-2</v>
      </c>
    </row>
    <row r="4" spans="1:20" x14ac:dyDescent="0.25">
      <c r="A4">
        <v>3</v>
      </c>
      <c r="B4" t="s">
        <v>163</v>
      </c>
      <c r="D4">
        <v>-54.421999999999997</v>
      </c>
      <c r="E4">
        <v>6.2430000000000003</v>
      </c>
      <c r="F4">
        <v>-49.277000000000001</v>
      </c>
      <c r="G4">
        <v>4.5359999999999996</v>
      </c>
      <c r="H4">
        <v>-19.036999999999999</v>
      </c>
      <c r="I4">
        <v>0.435</v>
      </c>
      <c r="J4">
        <v>2.8170000000000002</v>
      </c>
      <c r="K4">
        <v>1.4E-2</v>
      </c>
      <c r="L4">
        <v>2.8140000000000001</v>
      </c>
      <c r="M4">
        <v>4.0000000000000001E-3</v>
      </c>
      <c r="N4">
        <v>1288.56</v>
      </c>
      <c r="O4">
        <v>0.89500000000000002</v>
      </c>
      <c r="P4">
        <v>0.248</v>
      </c>
    </row>
    <row r="5" spans="1:20" x14ac:dyDescent="0.25">
      <c r="A5">
        <v>4</v>
      </c>
      <c r="B5" t="s">
        <v>164</v>
      </c>
      <c r="D5">
        <v>-49.103999999999999</v>
      </c>
      <c r="E5">
        <v>5.0570000000000004</v>
      </c>
      <c r="F5">
        <v>-50.65</v>
      </c>
      <c r="G5">
        <v>3.4929999999999999</v>
      </c>
      <c r="H5">
        <v>-29.574999999999999</v>
      </c>
      <c r="I5">
        <v>0.82199999999999995</v>
      </c>
      <c r="J5">
        <v>3.4769999999999999</v>
      </c>
      <c r="K5">
        <v>1.4E-2</v>
      </c>
      <c r="L5">
        <v>3.51</v>
      </c>
      <c r="M5">
        <v>7.0000000000000001E-3</v>
      </c>
      <c r="N5">
        <v>606.91800000000001</v>
      </c>
      <c r="O5">
        <v>0.47</v>
      </c>
      <c r="P5">
        <v>0.23200000000000001</v>
      </c>
    </row>
    <row r="6" spans="1:20" x14ac:dyDescent="0.25">
      <c r="A6">
        <v>5</v>
      </c>
      <c r="B6" t="s">
        <v>165</v>
      </c>
      <c r="D6">
        <v>-50.774000000000001</v>
      </c>
      <c r="E6">
        <v>5.53</v>
      </c>
      <c r="F6">
        <v>-49.231999999999999</v>
      </c>
      <c r="G6">
        <v>4.1959999999999997</v>
      </c>
      <c r="H6">
        <v>-35.545000000000002</v>
      </c>
      <c r="I6">
        <v>0.74199999999999999</v>
      </c>
      <c r="J6">
        <v>2.7970000000000002</v>
      </c>
      <c r="K6">
        <v>1.2999999999999999E-2</v>
      </c>
      <c r="L6">
        <v>2.806</v>
      </c>
      <c r="M6">
        <v>3.0000000000000001E-3</v>
      </c>
      <c r="N6">
        <v>472.738</v>
      </c>
      <c r="O6">
        <v>0.41499999999999998</v>
      </c>
      <c r="P6">
        <v>0.216</v>
      </c>
    </row>
    <row r="7" spans="1:20" x14ac:dyDescent="0.25">
      <c r="A7">
        <v>6</v>
      </c>
      <c r="B7" t="s">
        <v>166</v>
      </c>
      <c r="D7">
        <v>-48.436999999999998</v>
      </c>
      <c r="E7">
        <v>5.6820000000000004</v>
      </c>
      <c r="F7">
        <v>-47.694000000000003</v>
      </c>
      <c r="G7">
        <v>4.7279999999999998</v>
      </c>
      <c r="H7">
        <v>-23.655000000000001</v>
      </c>
      <c r="I7">
        <v>0.622</v>
      </c>
      <c r="J7">
        <v>2.7320000000000002</v>
      </c>
      <c r="K7">
        <v>1.4999999999999999E-2</v>
      </c>
      <c r="L7">
        <v>2.75</v>
      </c>
      <c r="M7">
        <v>2E-3</v>
      </c>
      <c r="N7">
        <v>877.70799999999997</v>
      </c>
      <c r="O7">
        <v>0.33200000000000002</v>
      </c>
      <c r="P7">
        <v>0.373</v>
      </c>
    </row>
    <row r="8" spans="1:20" x14ac:dyDescent="0.25">
      <c r="A8" s="9">
        <v>7</v>
      </c>
      <c r="B8" s="9" t="s">
        <v>167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</v>
      </c>
      <c r="R8" s="9" t="s">
        <v>169</v>
      </c>
      <c r="S8" s="9"/>
      <c r="T8" s="9"/>
    </row>
    <row r="9" spans="1:20" x14ac:dyDescent="0.25">
      <c r="A9">
        <v>8</v>
      </c>
      <c r="B9" t="s">
        <v>15</v>
      </c>
    </row>
    <row r="10" spans="1:20" x14ac:dyDescent="0.25">
      <c r="A10">
        <v>9</v>
      </c>
      <c r="B10" t="s">
        <v>48</v>
      </c>
    </row>
    <row r="11" spans="1:20" x14ac:dyDescent="0.25">
      <c r="A11">
        <v>10</v>
      </c>
    </row>
    <row r="12" spans="1:20" x14ac:dyDescent="0.25">
      <c r="A12">
        <v>11</v>
      </c>
    </row>
    <row r="13" spans="1:20" x14ac:dyDescent="0.25">
      <c r="A13">
        <v>12</v>
      </c>
    </row>
    <row r="14" spans="1:20" x14ac:dyDescent="0.25">
      <c r="A14">
        <v>13</v>
      </c>
    </row>
    <row r="15" spans="1:20" x14ac:dyDescent="0.25">
      <c r="A15">
        <v>14</v>
      </c>
    </row>
    <row r="16" spans="1:20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2" x14ac:dyDescent="0.25">
      <c r="A33">
        <v>32</v>
      </c>
    </row>
    <row r="35" spans="1:12" x14ac:dyDescent="0.25">
      <c r="D35" t="s">
        <v>170</v>
      </c>
      <c r="E35" t="s">
        <v>173</v>
      </c>
      <c r="F35" t="s">
        <v>171</v>
      </c>
      <c r="G35" t="s">
        <v>172</v>
      </c>
      <c r="H35" t="s">
        <v>174</v>
      </c>
    </row>
    <row r="37" spans="1:12" x14ac:dyDescent="0.25">
      <c r="I37" t="s">
        <v>175</v>
      </c>
      <c r="K37" t="s">
        <v>186</v>
      </c>
    </row>
    <row r="38" spans="1:12" x14ac:dyDescent="0.25">
      <c r="J38" t="s">
        <v>185</v>
      </c>
      <c r="L38" t="s">
        <v>171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E060-AD2D-0B4D-91D7-1A0A1BCF80AF}">
  <dimension ref="A1:S16"/>
  <sheetViews>
    <sheetView workbookViewId="0">
      <selection activeCell="A3" sqref="A3:R3"/>
    </sheetView>
  </sheetViews>
  <sheetFormatPr defaultColWidth="11" defaultRowHeight="15.75" x14ac:dyDescent="0.25"/>
  <cols>
    <col min="2" max="2" width="18.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19" x14ac:dyDescent="0.25">
      <c r="A2">
        <v>1</v>
      </c>
      <c r="B2" t="s">
        <v>15</v>
      </c>
      <c r="R2" t="s">
        <v>162</v>
      </c>
    </row>
    <row r="3" spans="1:19" x14ac:dyDescent="0.25">
      <c r="A3">
        <v>2</v>
      </c>
      <c r="B3" t="s">
        <v>48</v>
      </c>
      <c r="D3">
        <v>-41.634</v>
      </c>
      <c r="E3">
        <v>7.391</v>
      </c>
      <c r="F3">
        <v>-45.180999999999997</v>
      </c>
      <c r="G3">
        <v>4.391</v>
      </c>
      <c r="H3">
        <v>-41.012</v>
      </c>
      <c r="I3">
        <v>0.83</v>
      </c>
      <c r="J3">
        <v>2.8290000000000002</v>
      </c>
      <c r="K3">
        <v>1.7999999999999999E-2</v>
      </c>
      <c r="L3">
        <v>2.8450000000000002</v>
      </c>
      <c r="M3">
        <v>4.0000000000000001E-3</v>
      </c>
      <c r="N3">
        <v>464.05500000000001</v>
      </c>
      <c r="O3">
        <v>0.4</v>
      </c>
      <c r="P3">
        <v>0.04</v>
      </c>
    </row>
    <row r="4" spans="1:19" x14ac:dyDescent="0.25">
      <c r="A4">
        <v>3</v>
      </c>
      <c r="B4" t="s">
        <v>168</v>
      </c>
      <c r="D4">
        <v>-45.255000000000003</v>
      </c>
      <c r="E4">
        <v>5.5919999999999996</v>
      </c>
      <c r="F4">
        <v>-45.363</v>
      </c>
      <c r="G4">
        <v>3.875</v>
      </c>
      <c r="H4">
        <v>-39.177999999999997</v>
      </c>
      <c r="I4">
        <v>1.0229999999999999</v>
      </c>
      <c r="J4">
        <v>2.875</v>
      </c>
      <c r="K4">
        <v>1.0999999999999999E-2</v>
      </c>
      <c r="L4">
        <v>2.887</v>
      </c>
      <c r="M4">
        <v>4.0000000000000001E-3</v>
      </c>
      <c r="N4">
        <v>483.48500000000001</v>
      </c>
      <c r="O4">
        <v>0.40500000000000003</v>
      </c>
      <c r="P4">
        <v>0.154</v>
      </c>
    </row>
    <row r="5" spans="1:19" x14ac:dyDescent="0.25">
      <c r="A5">
        <v>4</v>
      </c>
      <c r="B5" t="s">
        <v>176</v>
      </c>
      <c r="D5">
        <v>-48.167999999999999</v>
      </c>
      <c r="E5">
        <v>8.1430000000000007</v>
      </c>
      <c r="F5">
        <v>-47.332999999999998</v>
      </c>
      <c r="G5">
        <v>4.0289999999999999</v>
      </c>
      <c r="H5">
        <v>-31.855</v>
      </c>
      <c r="I5">
        <v>1.32</v>
      </c>
      <c r="J5">
        <v>2.7559999999999998</v>
      </c>
      <c r="K5">
        <v>1.7000000000000001E-2</v>
      </c>
      <c r="L5">
        <v>2.7610000000000001</v>
      </c>
      <c r="M5">
        <v>3.0000000000000001E-3</v>
      </c>
      <c r="N5">
        <v>511.767</v>
      </c>
      <c r="O5">
        <v>0.27400000000000002</v>
      </c>
      <c r="P5">
        <v>0.108</v>
      </c>
    </row>
    <row r="6" spans="1:19" x14ac:dyDescent="0.25">
      <c r="A6">
        <v>5</v>
      </c>
      <c r="B6" t="s">
        <v>178</v>
      </c>
      <c r="D6">
        <v>-50.494</v>
      </c>
      <c r="E6">
        <v>3.0710000000000002</v>
      </c>
      <c r="F6">
        <v>-47.191000000000003</v>
      </c>
      <c r="G6">
        <v>1.8580000000000001</v>
      </c>
      <c r="H6">
        <v>-11.112</v>
      </c>
      <c r="I6">
        <v>0.88200000000000001</v>
      </c>
      <c r="J6">
        <v>6.6390000000000002</v>
      </c>
      <c r="K6">
        <v>2.1000000000000001E-2</v>
      </c>
      <c r="L6">
        <v>6.6769999999999996</v>
      </c>
      <c r="M6">
        <v>1.4999999999999999E-2</v>
      </c>
      <c r="N6">
        <v>770.84699999999998</v>
      </c>
      <c r="O6">
        <v>1.1073</v>
      </c>
      <c r="P6">
        <v>0.57799999999999996</v>
      </c>
    </row>
    <row r="7" spans="1:19" x14ac:dyDescent="0.25">
      <c r="A7">
        <v>6</v>
      </c>
      <c r="B7" t="s">
        <v>179</v>
      </c>
      <c r="D7">
        <v>-46.848999999999997</v>
      </c>
      <c r="E7">
        <v>6.5069999999999997</v>
      </c>
      <c r="F7">
        <v>-46.109000000000002</v>
      </c>
      <c r="G7">
        <v>4.3250000000000002</v>
      </c>
      <c r="H7">
        <v>-10.874000000000001</v>
      </c>
      <c r="I7">
        <v>0.70399999999999996</v>
      </c>
      <c r="J7">
        <v>2.919</v>
      </c>
      <c r="K7">
        <v>1.7000000000000001E-2</v>
      </c>
      <c r="L7">
        <v>2.952</v>
      </c>
      <c r="M7">
        <v>5.0000000000000001E-3</v>
      </c>
      <c r="N7">
        <v>797.80700000000002</v>
      </c>
      <c r="O7">
        <v>0.96499999999999997</v>
      </c>
      <c r="P7">
        <v>0.66300000000000003</v>
      </c>
    </row>
    <row r="8" spans="1:19" x14ac:dyDescent="0.25">
      <c r="A8">
        <v>7</v>
      </c>
      <c r="B8" t="s">
        <v>181</v>
      </c>
      <c r="D8">
        <v>-44.555</v>
      </c>
      <c r="E8">
        <v>2.7040000000000002</v>
      </c>
      <c r="F8">
        <v>-40.561999999999998</v>
      </c>
      <c r="G8">
        <v>1.571</v>
      </c>
      <c r="H8">
        <v>-11.025</v>
      </c>
      <c r="I8">
        <v>0.71699999999999997</v>
      </c>
      <c r="J8">
        <v>8.25</v>
      </c>
      <c r="K8">
        <v>2.1000000000000001E-2</v>
      </c>
      <c r="L8">
        <v>8.3010000000000002</v>
      </c>
      <c r="M8">
        <v>1.4E-2</v>
      </c>
      <c r="N8">
        <v>758.03200000000004</v>
      </c>
      <c r="O8">
        <v>0.94799999999999995</v>
      </c>
      <c r="P8">
        <v>0.80400000000000005</v>
      </c>
    </row>
    <row r="9" spans="1:19" x14ac:dyDescent="0.25">
      <c r="A9">
        <v>8</v>
      </c>
      <c r="B9" t="s">
        <v>180</v>
      </c>
      <c r="D9">
        <v>-46.823999999999998</v>
      </c>
      <c r="E9">
        <v>5.7960000000000003</v>
      </c>
      <c r="F9">
        <v>-45.517000000000003</v>
      </c>
      <c r="G9">
        <v>3.4870000000000001</v>
      </c>
      <c r="H9">
        <v>-11.111000000000001</v>
      </c>
      <c r="I9">
        <v>0.68400000000000005</v>
      </c>
      <c r="J9">
        <v>3.0409999999999999</v>
      </c>
      <c r="K9">
        <v>1.7000000000000001E-2</v>
      </c>
      <c r="L9">
        <v>3.0640000000000001</v>
      </c>
      <c r="M9">
        <v>4.0000000000000001E-3</v>
      </c>
      <c r="N9">
        <v>741.29399999999998</v>
      </c>
      <c r="O9">
        <v>0.64500000000000002</v>
      </c>
      <c r="P9">
        <v>0.495</v>
      </c>
    </row>
    <row r="10" spans="1:19" x14ac:dyDescent="0.25">
      <c r="A10">
        <v>9</v>
      </c>
      <c r="B10" t="s">
        <v>182</v>
      </c>
      <c r="D10">
        <v>-50.415999999999997</v>
      </c>
      <c r="E10">
        <v>6.0640000000000001</v>
      </c>
      <c r="F10">
        <v>-47.56</v>
      </c>
      <c r="G10">
        <v>3.9420000000000002</v>
      </c>
      <c r="H10">
        <v>-11.054</v>
      </c>
      <c r="I10">
        <v>0.70799999999999996</v>
      </c>
      <c r="J10">
        <v>3.008</v>
      </c>
      <c r="K10">
        <v>1.4E-2</v>
      </c>
      <c r="L10">
        <v>3.0209999999999999</v>
      </c>
      <c r="M10">
        <v>5.0000000000000001E-3</v>
      </c>
      <c r="N10">
        <v>747.154</v>
      </c>
      <c r="O10">
        <v>0.78700000000000003</v>
      </c>
      <c r="P10">
        <v>0.35899999999999999</v>
      </c>
    </row>
    <row r="11" spans="1:19" x14ac:dyDescent="0.25">
      <c r="A11">
        <v>10</v>
      </c>
      <c r="B11" t="s">
        <v>183</v>
      </c>
      <c r="D11">
        <v>-54.631999999999998</v>
      </c>
      <c r="E11">
        <v>2.415</v>
      </c>
      <c r="F11">
        <v>-53.161999999999999</v>
      </c>
      <c r="G11">
        <v>1.857</v>
      </c>
      <c r="H11">
        <v>-11.032</v>
      </c>
      <c r="I11">
        <v>0.747</v>
      </c>
      <c r="J11">
        <v>7.0439999999999996</v>
      </c>
      <c r="K11">
        <v>1.9E-2</v>
      </c>
      <c r="L11">
        <v>7.0979999999999999</v>
      </c>
      <c r="M11">
        <v>1.4E-2</v>
      </c>
      <c r="N11">
        <v>795.93700000000001</v>
      </c>
      <c r="O11">
        <v>1.0780000000000001</v>
      </c>
      <c r="P11">
        <v>0.64400000000000002</v>
      </c>
    </row>
    <row r="12" spans="1:19" x14ac:dyDescent="0.25">
      <c r="A12" s="9">
        <v>11</v>
      </c>
      <c r="B12" s="9" t="s">
        <v>184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>
        <v>1</v>
      </c>
      <c r="R12" s="9" t="s">
        <v>187</v>
      </c>
      <c r="S12" s="9"/>
    </row>
    <row r="13" spans="1:19" x14ac:dyDescent="0.25">
      <c r="A13">
        <v>12</v>
      </c>
    </row>
    <row r="14" spans="1:19" x14ac:dyDescent="0.25">
      <c r="A14">
        <v>13</v>
      </c>
    </row>
    <row r="15" spans="1:19" x14ac:dyDescent="0.25">
      <c r="A15">
        <v>14</v>
      </c>
    </row>
    <row r="16" spans="1:19" x14ac:dyDescent="0.25">
      <c r="A16">
        <v>15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10AB-A3C0-3746-8BF4-A26F73208CDF}">
  <dimension ref="A1:R27"/>
  <sheetViews>
    <sheetView workbookViewId="0">
      <selection activeCell="A3" sqref="A3:P3"/>
    </sheetView>
  </sheetViews>
  <sheetFormatPr defaultColWidth="11" defaultRowHeight="15.7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</row>
    <row r="2" spans="1:18" x14ac:dyDescent="0.25">
      <c r="A2">
        <v>1</v>
      </c>
      <c r="B2" t="s">
        <v>15</v>
      </c>
      <c r="R2" t="s">
        <v>188</v>
      </c>
    </row>
    <row r="3" spans="1:18" x14ac:dyDescent="0.25">
      <c r="A3">
        <v>2</v>
      </c>
      <c r="B3" t="s">
        <v>48</v>
      </c>
      <c r="D3">
        <v>-40.695</v>
      </c>
      <c r="E3">
        <v>6.7910000000000004</v>
      </c>
      <c r="F3">
        <v>-43.329000000000001</v>
      </c>
      <c r="G3">
        <v>4.0129999999999999</v>
      </c>
      <c r="H3">
        <v>-41.875</v>
      </c>
      <c r="I3">
        <v>0.81200000000000006</v>
      </c>
      <c r="J3">
        <v>2.859</v>
      </c>
      <c r="K3">
        <v>1.6E-2</v>
      </c>
      <c r="L3">
        <v>2.8730000000000002</v>
      </c>
      <c r="M3">
        <v>3.0000000000000001E-3</v>
      </c>
      <c r="N3">
        <v>467.68400000000003</v>
      </c>
      <c r="O3">
        <v>0.32300000000000001</v>
      </c>
      <c r="P3">
        <v>3.9E-2</v>
      </c>
    </row>
    <row r="4" spans="1:18" x14ac:dyDescent="0.25">
      <c r="A4">
        <v>3</v>
      </c>
      <c r="B4" t="s">
        <v>177</v>
      </c>
      <c r="D4">
        <v>-60.003</v>
      </c>
      <c r="E4">
        <v>0.76</v>
      </c>
      <c r="H4">
        <v>-32.335000000000001</v>
      </c>
      <c r="I4">
        <v>0.878</v>
      </c>
      <c r="J4">
        <v>21.081</v>
      </c>
      <c r="K4">
        <v>2.8000000000000001E-2</v>
      </c>
      <c r="L4">
        <v>20.521000000000001</v>
      </c>
      <c r="M4">
        <v>0</v>
      </c>
      <c r="N4">
        <v>513.93799999999999</v>
      </c>
      <c r="O4">
        <v>0.45500000000000002</v>
      </c>
      <c r="P4">
        <v>0.16</v>
      </c>
    </row>
    <row r="5" spans="1:18" x14ac:dyDescent="0.25">
      <c r="A5">
        <v>4</v>
      </c>
      <c r="B5" t="s">
        <v>191</v>
      </c>
      <c r="D5">
        <v>-157.30699999999999</v>
      </c>
      <c r="E5">
        <v>76.096999999999994</v>
      </c>
      <c r="F5">
        <v>-130.44399999999999</v>
      </c>
      <c r="G5">
        <v>57.935000000000002</v>
      </c>
      <c r="H5">
        <v>-10.733000000000001</v>
      </c>
      <c r="I5">
        <v>5.6529999999999996</v>
      </c>
      <c r="J5">
        <v>0.19800000000000001</v>
      </c>
      <c r="K5">
        <v>1.0999999999999999E-2</v>
      </c>
      <c r="L5">
        <v>0.186</v>
      </c>
      <c r="M5">
        <v>0</v>
      </c>
      <c r="N5">
        <v>70.087999999999994</v>
      </c>
      <c r="O5">
        <v>0.185</v>
      </c>
      <c r="P5">
        <v>0.1172</v>
      </c>
      <c r="R5" t="s">
        <v>189</v>
      </c>
    </row>
    <row r="6" spans="1:18" x14ac:dyDescent="0.25">
      <c r="A6">
        <v>5</v>
      </c>
      <c r="B6" t="s">
        <v>192</v>
      </c>
      <c r="D6">
        <v>-65.649000000000001</v>
      </c>
      <c r="E6">
        <v>125.773</v>
      </c>
      <c r="F6">
        <v>-66.492000000000004</v>
      </c>
      <c r="G6">
        <v>82.808999999999997</v>
      </c>
      <c r="H6">
        <v>-4.9640000000000004</v>
      </c>
      <c r="I6">
        <v>8.6180000000000003</v>
      </c>
      <c r="J6">
        <v>0.14899999999999999</v>
      </c>
      <c r="K6">
        <v>1.0999999999999999E-2</v>
      </c>
      <c r="L6">
        <v>0.1142</v>
      </c>
      <c r="M6">
        <v>0</v>
      </c>
      <c r="N6">
        <v>57.01</v>
      </c>
      <c r="O6">
        <v>0.16300000000000001</v>
      </c>
      <c r="P6">
        <v>0.11749999999999999</v>
      </c>
      <c r="R6" t="s">
        <v>190</v>
      </c>
    </row>
    <row r="7" spans="1:18" x14ac:dyDescent="0.25">
      <c r="A7">
        <v>6</v>
      </c>
      <c r="B7" t="s">
        <v>193</v>
      </c>
      <c r="D7">
        <v>-59.613</v>
      </c>
      <c r="E7">
        <v>8.19</v>
      </c>
      <c r="F7">
        <v>-59.502000000000002</v>
      </c>
      <c r="G7">
        <v>4.7149999999999999</v>
      </c>
      <c r="H7">
        <v>-11.84</v>
      </c>
      <c r="I7">
        <v>3.0910000000000002</v>
      </c>
      <c r="J7">
        <v>2.3210000000000002</v>
      </c>
      <c r="K7">
        <v>1.4999999999999999E-2</v>
      </c>
      <c r="L7">
        <v>2.3290000000000002</v>
      </c>
      <c r="M7">
        <v>3.0000000000000001E-3</v>
      </c>
      <c r="N7">
        <v>136.98400000000001</v>
      </c>
      <c r="O7">
        <v>0.215</v>
      </c>
      <c r="P7">
        <v>0.17299999999999999</v>
      </c>
      <c r="R7" t="s">
        <v>189</v>
      </c>
    </row>
    <row r="8" spans="1:18" x14ac:dyDescent="0.25">
      <c r="A8">
        <v>7</v>
      </c>
      <c r="B8" t="s">
        <v>194</v>
      </c>
      <c r="D8">
        <v>-62.527000000000001</v>
      </c>
      <c r="E8">
        <v>3.0019999999999998</v>
      </c>
      <c r="F8">
        <v>-61.536999999999999</v>
      </c>
      <c r="G8">
        <v>2.2589999999999999</v>
      </c>
      <c r="H8">
        <v>-12.273</v>
      </c>
      <c r="I8">
        <v>2.4729999999999999</v>
      </c>
      <c r="J8">
        <v>5.1189999999999998</v>
      </c>
      <c r="K8">
        <v>1.4E-2</v>
      </c>
      <c r="L8">
        <v>5.1580000000000004</v>
      </c>
      <c r="M8">
        <v>6.0000000000000001E-3</v>
      </c>
      <c r="N8">
        <v>136.74199999999999</v>
      </c>
      <c r="O8">
        <v>0.16200000000000001</v>
      </c>
      <c r="P8">
        <v>0.48199999999999998</v>
      </c>
      <c r="R8" t="s">
        <v>189</v>
      </c>
    </row>
    <row r="9" spans="1:18" x14ac:dyDescent="0.25">
      <c r="A9">
        <v>8</v>
      </c>
      <c r="B9" t="s">
        <v>195</v>
      </c>
      <c r="D9">
        <v>-116.76600000000001</v>
      </c>
      <c r="E9">
        <v>102.613</v>
      </c>
      <c r="F9">
        <v>-113.508</v>
      </c>
      <c r="G9">
        <v>79.966999999999999</v>
      </c>
      <c r="H9">
        <v>-5.3419999999999996</v>
      </c>
      <c r="I9">
        <v>9.0090000000000003</v>
      </c>
      <c r="J9">
        <v>0.19</v>
      </c>
      <c r="K9">
        <v>1.2E-2</v>
      </c>
      <c r="L9">
        <v>0.184</v>
      </c>
      <c r="M9">
        <v>0</v>
      </c>
      <c r="N9">
        <v>44.761000000000003</v>
      </c>
      <c r="O9">
        <v>0.156</v>
      </c>
      <c r="P9">
        <v>0.20399999999999999</v>
      </c>
      <c r="R9" t="s">
        <v>189</v>
      </c>
    </row>
    <row r="10" spans="1:18" x14ac:dyDescent="0.25">
      <c r="A10">
        <v>9</v>
      </c>
      <c r="B10" t="s">
        <v>196</v>
      </c>
      <c r="D10">
        <v>-84.05</v>
      </c>
      <c r="E10">
        <v>31.297999999999998</v>
      </c>
      <c r="F10">
        <v>-74.802000000000007</v>
      </c>
      <c r="G10">
        <v>21.225000000000001</v>
      </c>
      <c r="H10">
        <v>-7.5490000000000004</v>
      </c>
      <c r="I10">
        <v>4.6050000000000004</v>
      </c>
      <c r="J10">
        <v>0.60599999999999998</v>
      </c>
      <c r="K10">
        <v>1.2E-2</v>
      </c>
      <c r="L10">
        <v>0.60299999999999998</v>
      </c>
      <c r="M10">
        <v>1E-3</v>
      </c>
      <c r="N10">
        <v>77.182000000000002</v>
      </c>
      <c r="O10">
        <v>0.156</v>
      </c>
      <c r="P10">
        <v>0.31900000000000001</v>
      </c>
      <c r="R10" t="s">
        <v>189</v>
      </c>
    </row>
    <row r="11" spans="1:18" x14ac:dyDescent="0.25">
      <c r="A11">
        <v>10</v>
      </c>
      <c r="B11" t="s">
        <v>197</v>
      </c>
      <c r="D11">
        <v>-94.911000000000001</v>
      </c>
      <c r="E11">
        <v>25.928999999999998</v>
      </c>
      <c r="F11">
        <v>-78.894000000000005</v>
      </c>
      <c r="G11">
        <v>22.460999999999999</v>
      </c>
      <c r="H11">
        <v>-8.3019999999999996</v>
      </c>
      <c r="I11">
        <v>0.50800000000000001</v>
      </c>
      <c r="J11">
        <v>0.53800000000000003</v>
      </c>
      <c r="K11">
        <v>1.0999999999999999E-2</v>
      </c>
      <c r="L11">
        <v>0.51900000000000002</v>
      </c>
      <c r="M11">
        <v>1E-3</v>
      </c>
      <c r="N11">
        <v>1914.9</v>
      </c>
      <c r="O11">
        <v>1.2030000000000001</v>
      </c>
      <c r="P11">
        <v>0.214</v>
      </c>
      <c r="R11" t="s">
        <v>199</v>
      </c>
    </row>
    <row r="12" spans="1:18" x14ac:dyDescent="0.25">
      <c r="A12">
        <v>11</v>
      </c>
      <c r="B12" t="s">
        <v>198</v>
      </c>
      <c r="D12">
        <v>-58.055</v>
      </c>
      <c r="E12">
        <v>45.593000000000004</v>
      </c>
      <c r="F12">
        <v>-74.790999999999997</v>
      </c>
      <c r="G12">
        <v>30.279</v>
      </c>
      <c r="H12">
        <v>-6.4210000000000003</v>
      </c>
      <c r="I12">
        <v>4.6390000000000002</v>
      </c>
      <c r="J12">
        <v>0.313</v>
      </c>
      <c r="K12">
        <v>0.01</v>
      </c>
      <c r="L12">
        <v>0.316</v>
      </c>
      <c r="M12">
        <v>1E-3</v>
      </c>
      <c r="N12">
        <v>80.593000000000004</v>
      </c>
      <c r="O12">
        <v>0.24099999999999999</v>
      </c>
      <c r="P12">
        <v>0.26300000000000001</v>
      </c>
      <c r="R12" t="s">
        <v>189</v>
      </c>
    </row>
    <row r="13" spans="1:18" x14ac:dyDescent="0.25">
      <c r="A13">
        <v>12</v>
      </c>
      <c r="B13" t="s">
        <v>200</v>
      </c>
      <c r="D13">
        <v>-75.924000000000007</v>
      </c>
      <c r="E13">
        <v>55.46</v>
      </c>
      <c r="F13">
        <v>-77.927999999999997</v>
      </c>
      <c r="G13">
        <v>33.405000000000001</v>
      </c>
      <c r="H13">
        <v>-6.6879999999999997</v>
      </c>
      <c r="I13">
        <v>5.2270000000000003</v>
      </c>
      <c r="J13">
        <v>0.27700000000000002</v>
      </c>
      <c r="K13">
        <v>1.0999999999999999E-2</v>
      </c>
      <c r="L13">
        <v>0.27200000000000002</v>
      </c>
      <c r="M13">
        <v>0</v>
      </c>
      <c r="N13">
        <v>79.662999999999997</v>
      </c>
      <c r="O13">
        <v>0.20200000000000001</v>
      </c>
      <c r="P13">
        <v>0.186</v>
      </c>
      <c r="R13" t="s">
        <v>189</v>
      </c>
    </row>
    <row r="14" spans="1:18" x14ac:dyDescent="0.25">
      <c r="A14">
        <v>13</v>
      </c>
      <c r="B14" t="s">
        <v>201</v>
      </c>
      <c r="D14">
        <v>-75.421000000000006</v>
      </c>
      <c r="E14">
        <v>30.725000000000001</v>
      </c>
      <c r="F14">
        <v>-65.510999999999996</v>
      </c>
      <c r="G14">
        <v>18.739999999999998</v>
      </c>
      <c r="H14">
        <v>-8.9760000000000009</v>
      </c>
      <c r="I14">
        <v>1.982</v>
      </c>
      <c r="J14">
        <v>0.59299999999999997</v>
      </c>
      <c r="K14">
        <v>1.2E-2</v>
      </c>
      <c r="L14">
        <v>0.59</v>
      </c>
      <c r="M14">
        <v>1E-3</v>
      </c>
      <c r="N14">
        <v>200.14</v>
      </c>
      <c r="O14">
        <v>0.16400000000000001</v>
      </c>
      <c r="P14">
        <v>0.313</v>
      </c>
      <c r="R14" t="s">
        <v>202</v>
      </c>
    </row>
    <row r="15" spans="1:18" x14ac:dyDescent="0.25">
      <c r="A15">
        <v>14</v>
      </c>
      <c r="B15" t="s">
        <v>203</v>
      </c>
      <c r="D15">
        <v>-106.90600000000001</v>
      </c>
      <c r="E15">
        <v>63.2</v>
      </c>
      <c r="F15">
        <v>-103.22</v>
      </c>
      <c r="G15">
        <v>50.112000000000002</v>
      </c>
      <c r="H15">
        <v>-4.9669999999999996</v>
      </c>
      <c r="I15">
        <v>7.5590000000000002</v>
      </c>
      <c r="J15">
        <v>0.26800000000000002</v>
      </c>
      <c r="K15">
        <v>1.4E-2</v>
      </c>
      <c r="L15">
        <v>0.26</v>
      </c>
      <c r="M15">
        <v>0</v>
      </c>
      <c r="N15">
        <v>60.124000000000002</v>
      </c>
      <c r="O15">
        <v>0.16800000000000001</v>
      </c>
      <c r="P15">
        <v>0.161</v>
      </c>
      <c r="R15" t="s">
        <v>189</v>
      </c>
    </row>
    <row r="16" spans="1:18" x14ac:dyDescent="0.25">
      <c r="A16">
        <v>15</v>
      </c>
      <c r="B16" t="s">
        <v>204</v>
      </c>
      <c r="D16">
        <v>-58.011000000000003</v>
      </c>
      <c r="E16">
        <v>69.241</v>
      </c>
      <c r="F16">
        <v>-89.936999999999998</v>
      </c>
      <c r="G16">
        <v>49.292999999999999</v>
      </c>
      <c r="H16">
        <v>-7.673</v>
      </c>
      <c r="I16">
        <v>3.6669999999999998</v>
      </c>
      <c r="J16">
        <v>0.23799999999999999</v>
      </c>
      <c r="K16">
        <v>1.2E-2</v>
      </c>
      <c r="L16">
        <v>0.245</v>
      </c>
      <c r="M16">
        <v>0</v>
      </c>
      <c r="N16">
        <v>106.747</v>
      </c>
      <c r="O16">
        <v>0.20899999999999999</v>
      </c>
      <c r="P16">
        <v>0.28000000000000003</v>
      </c>
      <c r="R16" t="s">
        <v>208</v>
      </c>
    </row>
    <row r="17" spans="1:18" x14ac:dyDescent="0.25">
      <c r="A17">
        <v>16</v>
      </c>
      <c r="B17" t="s">
        <v>205</v>
      </c>
      <c r="D17">
        <v>-80.099999999999994</v>
      </c>
      <c r="E17">
        <v>17.016999999999999</v>
      </c>
      <c r="F17">
        <v>-68.86</v>
      </c>
      <c r="G17">
        <v>11.795999999999999</v>
      </c>
      <c r="H17">
        <v>-6.81</v>
      </c>
      <c r="I17">
        <v>6.6289999999999996</v>
      </c>
      <c r="J17">
        <v>0.83399999999999996</v>
      </c>
      <c r="K17">
        <v>1.2999999999999999E-2</v>
      </c>
      <c r="L17">
        <v>0.82199999999999995</v>
      </c>
      <c r="M17">
        <v>1E-3</v>
      </c>
      <c r="N17">
        <v>66.641999999999996</v>
      </c>
      <c r="O17">
        <v>0.17599999999999999</v>
      </c>
      <c r="P17">
        <v>0.16700000000000001</v>
      </c>
      <c r="R17" t="s">
        <v>202</v>
      </c>
    </row>
    <row r="18" spans="1:18" x14ac:dyDescent="0.25">
      <c r="A18">
        <v>17</v>
      </c>
      <c r="B18" t="s">
        <v>15</v>
      </c>
      <c r="D18">
        <v>57.816000000000003</v>
      </c>
      <c r="E18">
        <v>323.18200000000002</v>
      </c>
      <c r="F18">
        <v>-171.65199999999999</v>
      </c>
      <c r="G18">
        <v>193.65299999999999</v>
      </c>
      <c r="H18">
        <v>48.991</v>
      </c>
      <c r="I18">
        <v>36.088000000000001</v>
      </c>
      <c r="J18">
        <v>6.4000000000000001E-2</v>
      </c>
      <c r="K18">
        <v>1.0999999999999999E-2</v>
      </c>
      <c r="L18">
        <v>6.2E-2</v>
      </c>
      <c r="M18">
        <v>0</v>
      </c>
      <c r="N18">
        <v>10.135</v>
      </c>
      <c r="O18">
        <v>0.121</v>
      </c>
      <c r="P18">
        <v>3.5000000000000003E-2</v>
      </c>
    </row>
    <row r="19" spans="1:18" x14ac:dyDescent="0.25">
      <c r="A19">
        <v>18</v>
      </c>
      <c r="B19" t="s">
        <v>209</v>
      </c>
      <c r="D19">
        <v>-28.288</v>
      </c>
      <c r="E19">
        <v>136.916</v>
      </c>
      <c r="F19">
        <v>-86.134</v>
      </c>
      <c r="G19">
        <v>87.41</v>
      </c>
      <c r="H19">
        <v>7.0730000000000004</v>
      </c>
      <c r="I19">
        <v>9.4380000000000006</v>
      </c>
      <c r="J19">
        <v>0.152</v>
      </c>
      <c r="K19">
        <v>1.2E-2</v>
      </c>
      <c r="L19">
        <v>0.14499999999999999</v>
      </c>
      <c r="M19">
        <v>1E-3</v>
      </c>
      <c r="N19">
        <v>32.270000000000003</v>
      </c>
      <c r="O19">
        <v>0.16800000000000001</v>
      </c>
      <c r="P19">
        <v>2.3E-2</v>
      </c>
      <c r="R19" t="s">
        <v>210</v>
      </c>
    </row>
    <row r="20" spans="1:18" x14ac:dyDescent="0.25">
      <c r="A20">
        <v>19</v>
      </c>
    </row>
    <row r="21" spans="1:18" x14ac:dyDescent="0.25">
      <c r="A21">
        <v>20</v>
      </c>
    </row>
    <row r="22" spans="1:18" x14ac:dyDescent="0.25">
      <c r="A22">
        <v>21</v>
      </c>
      <c r="B22" t="s">
        <v>206</v>
      </c>
    </row>
    <row r="23" spans="1:18" x14ac:dyDescent="0.25">
      <c r="A23">
        <v>22</v>
      </c>
      <c r="B23" t="s">
        <v>207</v>
      </c>
    </row>
    <row r="24" spans="1:18" x14ac:dyDescent="0.25">
      <c r="A24">
        <v>23</v>
      </c>
    </row>
    <row r="25" spans="1:18" x14ac:dyDescent="0.25">
      <c r="A25">
        <v>24</v>
      </c>
    </row>
    <row r="26" spans="1:18" x14ac:dyDescent="0.25">
      <c r="A26">
        <v>25</v>
      </c>
    </row>
    <row r="27" spans="1:18" x14ac:dyDescent="0.25">
      <c r="A27">
        <v>26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E779-736B-904E-BF27-378DF132B5F0}">
  <dimension ref="A1:T193"/>
  <sheetViews>
    <sheetView topLeftCell="A91" workbookViewId="0">
      <selection activeCell="B110" sqref="B110"/>
    </sheetView>
  </sheetViews>
  <sheetFormatPr defaultColWidth="11" defaultRowHeight="15.75" x14ac:dyDescent="0.25"/>
  <cols>
    <col min="2" max="2" width="25.5" customWidth="1"/>
  </cols>
  <sheetData>
    <row r="1" spans="1:20" x14ac:dyDescent="0.25">
      <c r="A1" t="s">
        <v>0</v>
      </c>
      <c r="B1" t="s">
        <v>149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  <c r="S1" t="s">
        <v>42</v>
      </c>
      <c r="T1" t="s">
        <v>147</v>
      </c>
    </row>
    <row r="2" spans="1:20" x14ac:dyDescent="0.25">
      <c r="A2">
        <v>1</v>
      </c>
      <c r="B2" t="s">
        <v>15</v>
      </c>
      <c r="S2" s="3">
        <v>45936</v>
      </c>
    </row>
    <row r="3" spans="1:20" x14ac:dyDescent="0.25">
      <c r="A3">
        <v>2</v>
      </c>
      <c r="B3" t="s">
        <v>16</v>
      </c>
      <c r="D3">
        <v>-42.554000000000002</v>
      </c>
      <c r="E3">
        <v>0.53300000000000003</v>
      </c>
      <c r="H3">
        <v>-43.49</v>
      </c>
      <c r="I3">
        <v>0.48299999999999998</v>
      </c>
      <c r="J3">
        <v>35.283999999999999</v>
      </c>
      <c r="K3">
        <v>4.4999999999999998E-2</v>
      </c>
      <c r="L3">
        <v>33.636000000000003</v>
      </c>
      <c r="N3">
        <v>1796.633</v>
      </c>
      <c r="O3">
        <v>1.173</v>
      </c>
      <c r="S3" s="3">
        <v>45936</v>
      </c>
    </row>
    <row r="4" spans="1:20" x14ac:dyDescent="0.25">
      <c r="A4">
        <v>3</v>
      </c>
      <c r="B4" t="s">
        <v>15</v>
      </c>
      <c r="S4" s="3">
        <v>45936</v>
      </c>
    </row>
    <row r="5" spans="1:20" x14ac:dyDescent="0.25">
      <c r="A5">
        <v>4</v>
      </c>
      <c r="B5" t="s">
        <v>48</v>
      </c>
      <c r="D5">
        <v>-41.904000000000003</v>
      </c>
      <c r="E5">
        <v>6.5720000000000001</v>
      </c>
      <c r="F5">
        <v>-45.611499999999999</v>
      </c>
      <c r="G5">
        <v>3.496</v>
      </c>
      <c r="H5">
        <v>-40.685000000000002</v>
      </c>
      <c r="I5">
        <v>0.96499999999999997</v>
      </c>
      <c r="J5">
        <v>2.9660000000000002</v>
      </c>
      <c r="K5">
        <v>1.6E-2</v>
      </c>
      <c r="L5">
        <v>2.9849999999999999</v>
      </c>
      <c r="M5">
        <v>2E-3</v>
      </c>
      <c r="N5">
        <v>488.06</v>
      </c>
      <c r="O5">
        <v>0.31900000000000001</v>
      </c>
      <c r="S5" s="3">
        <v>45936</v>
      </c>
    </row>
    <row r="6" spans="1:20" x14ac:dyDescent="0.25">
      <c r="A6">
        <v>5</v>
      </c>
      <c r="B6" t="s">
        <v>48</v>
      </c>
      <c r="D6">
        <v>-41.648000000000003</v>
      </c>
      <c r="E6">
        <v>5.9939999999999998</v>
      </c>
      <c r="F6">
        <v>-45.264000000000003</v>
      </c>
      <c r="G6">
        <v>3.4740000000000002</v>
      </c>
      <c r="H6">
        <v>-41.588000000000001</v>
      </c>
      <c r="I6">
        <v>1.014</v>
      </c>
      <c r="J6">
        <v>2.93</v>
      </c>
      <c r="K6">
        <v>3.2000000000000001E-2</v>
      </c>
      <c r="L6">
        <v>2.9470000000000001</v>
      </c>
      <c r="M6">
        <v>3.0000000000000001E-3</v>
      </c>
      <c r="N6">
        <v>476.62799999999999</v>
      </c>
      <c r="O6">
        <v>0.31900000000000001</v>
      </c>
      <c r="S6" s="3">
        <v>45936</v>
      </c>
    </row>
    <row r="7" spans="1:20" x14ac:dyDescent="0.25">
      <c r="A7">
        <v>6</v>
      </c>
      <c r="B7" t="s">
        <v>48</v>
      </c>
      <c r="D7">
        <v>-41.063000000000002</v>
      </c>
      <c r="E7">
        <v>6.76</v>
      </c>
      <c r="F7">
        <v>-45.116700000000002</v>
      </c>
      <c r="G7">
        <v>3.1619999999999999</v>
      </c>
      <c r="H7">
        <v>-41.295999999999999</v>
      </c>
      <c r="I7">
        <v>1.028</v>
      </c>
      <c r="J7">
        <v>2.927</v>
      </c>
      <c r="K7">
        <v>1.4999999999999999E-2</v>
      </c>
      <c r="L7">
        <v>2.9449999999999998</v>
      </c>
      <c r="M7">
        <v>3.0000000000000001E-3</v>
      </c>
      <c r="N7">
        <v>476.70699999999999</v>
      </c>
      <c r="O7">
        <v>0.34200000000000003</v>
      </c>
      <c r="S7" s="3">
        <v>45936</v>
      </c>
    </row>
    <row r="8" spans="1:20" x14ac:dyDescent="0.25">
      <c r="A8">
        <v>7</v>
      </c>
      <c r="B8" t="s">
        <v>19</v>
      </c>
      <c r="D8">
        <v>-48.668999999999997</v>
      </c>
      <c r="E8">
        <v>6.1310000000000002</v>
      </c>
      <c r="F8">
        <v>-46.234999999999999</v>
      </c>
      <c r="G8">
        <v>3.875</v>
      </c>
      <c r="H8">
        <v>-11.324999999999999</v>
      </c>
      <c r="I8">
        <v>0.55300000000000005</v>
      </c>
      <c r="J8">
        <v>3.1819999999999999</v>
      </c>
      <c r="K8">
        <v>1.4E-2</v>
      </c>
      <c r="L8">
        <v>3.2010000000000001</v>
      </c>
      <c r="M8">
        <v>4.0000000000000001E-3</v>
      </c>
      <c r="N8">
        <v>822.62099999999998</v>
      </c>
      <c r="O8">
        <v>0.61499999999999999</v>
      </c>
      <c r="S8" s="3">
        <v>45936</v>
      </c>
    </row>
    <row r="9" spans="1:20" x14ac:dyDescent="0.25">
      <c r="A9">
        <v>8</v>
      </c>
      <c r="B9" t="s">
        <v>20</v>
      </c>
      <c r="D9">
        <v>-49.600999999999999</v>
      </c>
      <c r="E9">
        <v>2.9929999999999999</v>
      </c>
      <c r="F9">
        <v>-47.195</v>
      </c>
      <c r="G9">
        <v>2.1680000000000001</v>
      </c>
      <c r="H9">
        <v>-12.548</v>
      </c>
      <c r="I9">
        <v>0.78200000000000003</v>
      </c>
      <c r="J9">
        <v>6.056</v>
      </c>
      <c r="K9">
        <v>1.4E-2</v>
      </c>
      <c r="L9">
        <v>6.0970000000000004</v>
      </c>
      <c r="M9">
        <v>8.9999999999999993E-3</v>
      </c>
      <c r="N9">
        <v>675.96400000000006</v>
      </c>
      <c r="O9">
        <v>7.5510999999999999</v>
      </c>
      <c r="S9" s="3">
        <v>45936</v>
      </c>
    </row>
    <row r="10" spans="1:20" x14ac:dyDescent="0.25">
      <c r="A10">
        <v>9</v>
      </c>
      <c r="B10" t="s">
        <v>21</v>
      </c>
      <c r="D10">
        <v>-46.600999999999999</v>
      </c>
      <c r="E10">
        <v>6.4619999999999997</v>
      </c>
      <c r="F10">
        <v>-46.276000000000003</v>
      </c>
      <c r="G10">
        <v>3.5680000000000001</v>
      </c>
      <c r="H10">
        <v>-10.986000000000001</v>
      </c>
      <c r="I10">
        <v>0.63100000000000001</v>
      </c>
      <c r="J10">
        <v>3.121</v>
      </c>
      <c r="K10">
        <v>1.7000000000000001E-2</v>
      </c>
      <c r="L10">
        <v>3.1579999999999999</v>
      </c>
      <c r="M10">
        <v>4.0000000000000001E-3</v>
      </c>
      <c r="N10">
        <v>816.06399999999996</v>
      </c>
      <c r="O10">
        <v>9.1419999999999995</v>
      </c>
      <c r="S10" s="3">
        <v>45936</v>
      </c>
    </row>
    <row r="11" spans="1:20" x14ac:dyDescent="0.25">
      <c r="A11">
        <v>10</v>
      </c>
      <c r="B11" t="s">
        <v>22</v>
      </c>
      <c r="D11">
        <v>-46.523000000000003</v>
      </c>
      <c r="E11">
        <v>6.1070000000000002</v>
      </c>
      <c r="F11">
        <v>-45.533999999999999</v>
      </c>
      <c r="G11">
        <v>4.1040000000000001</v>
      </c>
      <c r="H11">
        <v>-10.773999999999999</v>
      </c>
      <c r="I11">
        <v>0.64600000000000002</v>
      </c>
      <c r="J11">
        <v>3.1549999999999998</v>
      </c>
      <c r="K11">
        <v>1.2999999999999999E-2</v>
      </c>
      <c r="L11">
        <v>3.1869999999999998</v>
      </c>
      <c r="M11">
        <v>4.0000000000000001E-3</v>
      </c>
      <c r="N11">
        <v>848.34199999999998</v>
      </c>
      <c r="O11">
        <v>0.55900000000000005</v>
      </c>
      <c r="S11" s="3">
        <v>45936</v>
      </c>
    </row>
    <row r="12" spans="1:20" x14ac:dyDescent="0.25">
      <c r="A12">
        <v>11</v>
      </c>
      <c r="B12" t="s">
        <v>23</v>
      </c>
      <c r="D12">
        <v>-49.314</v>
      </c>
      <c r="E12">
        <v>4.3250000000000002</v>
      </c>
      <c r="F12">
        <v>-44.771999999999998</v>
      </c>
      <c r="G12">
        <v>3.7120000000000002</v>
      </c>
      <c r="H12">
        <v>-11.266999999999999</v>
      </c>
      <c r="I12">
        <v>0.58299999999999996</v>
      </c>
      <c r="J12">
        <v>3.2149999999999999</v>
      </c>
      <c r="K12">
        <v>1.2E-2</v>
      </c>
      <c r="L12">
        <v>3.2370000000000001</v>
      </c>
      <c r="M12">
        <v>4.0000000000000001E-3</v>
      </c>
      <c r="N12">
        <v>976.84299999999996</v>
      </c>
      <c r="O12">
        <v>0.80600000000000005</v>
      </c>
      <c r="S12" s="3">
        <v>45936</v>
      </c>
    </row>
    <row r="13" spans="1:20" x14ac:dyDescent="0.25">
      <c r="A13">
        <v>12</v>
      </c>
      <c r="B13" t="s">
        <v>24</v>
      </c>
      <c r="D13">
        <v>-49.87</v>
      </c>
      <c r="E13">
        <v>6.1020000000000003</v>
      </c>
      <c r="F13">
        <v>-47.932000000000002</v>
      </c>
      <c r="G13">
        <v>3.4910000000000001</v>
      </c>
      <c r="H13">
        <v>-10.54</v>
      </c>
      <c r="I13">
        <v>0.65</v>
      </c>
      <c r="J13">
        <v>3.1709999999999998</v>
      </c>
      <c r="K13">
        <v>1.7000000000000001E-2</v>
      </c>
      <c r="L13">
        <v>3.1989999999999998</v>
      </c>
      <c r="M13">
        <v>4.0000000000000001E-3</v>
      </c>
      <c r="N13">
        <v>847.76</v>
      </c>
      <c r="O13">
        <v>0.76200000000000001</v>
      </c>
      <c r="S13" s="3">
        <v>45936</v>
      </c>
    </row>
    <row r="14" spans="1:20" x14ac:dyDescent="0.25">
      <c r="A14">
        <v>13</v>
      </c>
      <c r="B14" t="s">
        <v>20</v>
      </c>
      <c r="C14">
        <f>(45-20)/(45-20+20)</f>
        <v>0.55555555555555558</v>
      </c>
      <c r="D14">
        <v>-49.594000000000001</v>
      </c>
      <c r="E14">
        <v>4.6689999999999996</v>
      </c>
      <c r="F14">
        <v>-48.155999999999999</v>
      </c>
      <c r="G14">
        <v>4.1159999999999997</v>
      </c>
      <c r="H14">
        <v>-11.084</v>
      </c>
      <c r="I14">
        <v>1.333</v>
      </c>
      <c r="J14">
        <v>2.9820000000000002</v>
      </c>
      <c r="K14">
        <v>1.4E-2</v>
      </c>
      <c r="L14">
        <v>3.0129999999999999</v>
      </c>
      <c r="M14">
        <v>2E-3</v>
      </c>
      <c r="N14">
        <v>383.69499999999999</v>
      </c>
      <c r="O14">
        <v>0.26800000000000002</v>
      </c>
      <c r="Q14">
        <f>J9*C14</f>
        <v>3.3644444444444446</v>
      </c>
      <c r="S14" s="3">
        <v>45936</v>
      </c>
    </row>
    <row r="15" spans="1:20" x14ac:dyDescent="0.25">
      <c r="A15">
        <v>14</v>
      </c>
      <c r="B15" t="s">
        <v>20</v>
      </c>
      <c r="C15">
        <f>((45-20)/(45-20+20))*C14</f>
        <v>0.30864197530864201</v>
      </c>
      <c r="D15">
        <v>-48.211300000000001</v>
      </c>
      <c r="E15">
        <v>10.525</v>
      </c>
      <c r="F15">
        <v>-48.398000000000003</v>
      </c>
      <c r="G15">
        <v>6.6420000000000003</v>
      </c>
      <c r="H15">
        <v>-11.849</v>
      </c>
      <c r="I15">
        <v>1.8140000000000001</v>
      </c>
      <c r="J15">
        <v>1.5569999999999999</v>
      </c>
      <c r="K15">
        <v>1.4999999999999999E-2</v>
      </c>
      <c r="L15">
        <v>1.583</v>
      </c>
      <c r="M15">
        <v>2E-3</v>
      </c>
      <c r="N15">
        <v>2116.2620000000002</v>
      </c>
      <c r="O15">
        <v>0.35099999999999998</v>
      </c>
      <c r="Q15">
        <f>J9*C15</f>
        <v>1.869135802469136</v>
      </c>
      <c r="S15" s="3">
        <v>45936</v>
      </c>
    </row>
    <row r="16" spans="1:20" x14ac:dyDescent="0.25">
      <c r="A16">
        <v>15</v>
      </c>
      <c r="B16" t="s">
        <v>15</v>
      </c>
      <c r="S16" s="3">
        <v>45936</v>
      </c>
    </row>
    <row r="17" spans="1:19" x14ac:dyDescent="0.25">
      <c r="A17">
        <v>16</v>
      </c>
      <c r="B17" t="s">
        <v>48</v>
      </c>
      <c r="D17">
        <v>-39.923000000000002</v>
      </c>
      <c r="E17">
        <v>7.5380000000000003</v>
      </c>
      <c r="F17">
        <v>-43.898000000000003</v>
      </c>
      <c r="G17">
        <v>4.0369999999999999</v>
      </c>
      <c r="H17">
        <v>-41.405000000000001</v>
      </c>
      <c r="I17">
        <v>0.79500000000000004</v>
      </c>
      <c r="J17">
        <v>2.8109999999999999</v>
      </c>
      <c r="K17">
        <v>1.7999999999999999E-2</v>
      </c>
      <c r="L17">
        <v>2.8279999999999998</v>
      </c>
      <c r="M17">
        <v>3.0000000000000001E-3</v>
      </c>
      <c r="N17">
        <v>459.51299999999998</v>
      </c>
      <c r="O17">
        <v>0.33900000000000002</v>
      </c>
      <c r="S17" s="3">
        <v>45936</v>
      </c>
    </row>
    <row r="18" spans="1:19" x14ac:dyDescent="0.25">
      <c r="A18">
        <v>17</v>
      </c>
      <c r="B18" t="s">
        <v>48</v>
      </c>
      <c r="D18">
        <v>-41.662999999999997</v>
      </c>
      <c r="E18">
        <v>5.41</v>
      </c>
      <c r="F18">
        <v>-45.156999999999996</v>
      </c>
      <c r="G18">
        <v>4.149</v>
      </c>
      <c r="H18">
        <v>-41.171999999999997</v>
      </c>
      <c r="I18">
        <v>0.82399999999999995</v>
      </c>
      <c r="J18">
        <v>2.8620000000000001</v>
      </c>
      <c r="K18">
        <v>1.2E-2</v>
      </c>
      <c r="L18">
        <v>2.8780000000000001</v>
      </c>
      <c r="M18">
        <v>4.0000000000000001E-3</v>
      </c>
      <c r="N18">
        <v>469.50400000000002</v>
      </c>
      <c r="O18">
        <v>0.38500000000000001</v>
      </c>
      <c r="S18" s="3">
        <v>45936</v>
      </c>
    </row>
    <row r="19" spans="1:19" x14ac:dyDescent="0.25">
      <c r="A19">
        <v>18</v>
      </c>
      <c r="B19" t="s">
        <v>25</v>
      </c>
      <c r="D19">
        <v>-48.716999999999999</v>
      </c>
      <c r="E19">
        <v>5.7489999999999997</v>
      </c>
      <c r="F19">
        <v>-46.72</v>
      </c>
      <c r="G19">
        <v>4.2069999999999999</v>
      </c>
      <c r="H19">
        <v>-11.477</v>
      </c>
      <c r="I19">
        <v>0.56799999999999995</v>
      </c>
      <c r="J19">
        <v>3.08</v>
      </c>
      <c r="K19">
        <v>1.2999999999999999E-2</v>
      </c>
      <c r="L19">
        <v>3.0990000000000002</v>
      </c>
      <c r="M19">
        <v>4.0000000000000001E-3</v>
      </c>
      <c r="N19">
        <v>901.98299999999995</v>
      </c>
      <c r="O19">
        <v>0.67</v>
      </c>
      <c r="S19" s="3">
        <v>45936</v>
      </c>
    </row>
    <row r="20" spans="1:19" x14ac:dyDescent="0.25">
      <c r="A20">
        <v>19</v>
      </c>
      <c r="B20" t="s">
        <v>26</v>
      </c>
      <c r="D20">
        <v>-43.38</v>
      </c>
      <c r="E20">
        <v>4.5570000000000004</v>
      </c>
      <c r="F20">
        <v>-41.593000000000004</v>
      </c>
      <c r="G20">
        <v>3.0830000000000002</v>
      </c>
      <c r="H20">
        <v>-10.404999999999999</v>
      </c>
      <c r="I20">
        <v>0.63800000000000001</v>
      </c>
      <c r="J20">
        <v>3.9369999999999998</v>
      </c>
      <c r="K20">
        <v>1.4E-2</v>
      </c>
      <c r="L20">
        <v>3.9729999999999999</v>
      </c>
      <c r="M20">
        <v>5.0000000000000001E-3</v>
      </c>
      <c r="N20">
        <v>830.51099999999997</v>
      </c>
      <c r="O20">
        <v>0.70099999999999996</v>
      </c>
      <c r="S20" s="3">
        <v>45936</v>
      </c>
    </row>
    <row r="21" spans="1:19" x14ac:dyDescent="0.25">
      <c r="A21">
        <v>20</v>
      </c>
      <c r="B21" t="s">
        <v>27</v>
      </c>
      <c r="D21">
        <v>-48.962000000000003</v>
      </c>
      <c r="E21">
        <v>4.97</v>
      </c>
      <c r="F21">
        <v>-46.805</v>
      </c>
      <c r="G21">
        <v>3.7</v>
      </c>
      <c r="H21">
        <v>-10.368</v>
      </c>
      <c r="I21">
        <v>0.77800000000000002</v>
      </c>
      <c r="J21">
        <v>3.1175000000000002</v>
      </c>
      <c r="K21">
        <v>1.41E-2</v>
      </c>
      <c r="L21">
        <v>3.2069999999999999</v>
      </c>
      <c r="M21">
        <v>2E-3</v>
      </c>
      <c r="N21">
        <v>799.97</v>
      </c>
      <c r="O21">
        <v>0.40799999999999997</v>
      </c>
      <c r="S21" s="3">
        <v>45936</v>
      </c>
    </row>
    <row r="22" spans="1:19" x14ac:dyDescent="0.25">
      <c r="A22">
        <v>21</v>
      </c>
      <c r="B22" t="s">
        <v>28</v>
      </c>
      <c r="D22">
        <v>-47.924999999999997</v>
      </c>
      <c r="E22">
        <v>6.093</v>
      </c>
      <c r="F22">
        <v>-46.652000000000001</v>
      </c>
      <c r="G22">
        <v>3.46</v>
      </c>
      <c r="H22">
        <v>-12.018000000000001</v>
      </c>
      <c r="I22">
        <v>0.61199999999999999</v>
      </c>
      <c r="J22">
        <v>3.0430000000000001</v>
      </c>
      <c r="K22">
        <v>1.2999999999999999E-2</v>
      </c>
      <c r="L22">
        <v>3.0790000000000002</v>
      </c>
      <c r="M22">
        <v>4.0000000000000001E-3</v>
      </c>
      <c r="N22">
        <v>742.44200000000001</v>
      </c>
      <c r="O22">
        <v>0.55700000000000005</v>
      </c>
      <c r="S22" s="3">
        <v>45936</v>
      </c>
    </row>
    <row r="23" spans="1:19" x14ac:dyDescent="0.25">
      <c r="A23">
        <v>22</v>
      </c>
      <c r="B23" t="s">
        <v>29</v>
      </c>
      <c r="D23">
        <v>-48.6</v>
      </c>
      <c r="E23">
        <v>4.6100000000000003</v>
      </c>
      <c r="F23">
        <v>-47.212000000000003</v>
      </c>
      <c r="G23">
        <v>3.3260000000000001</v>
      </c>
      <c r="H23">
        <v>-10.635</v>
      </c>
      <c r="I23">
        <v>0.72099999999999997</v>
      </c>
      <c r="J23">
        <v>3.129</v>
      </c>
      <c r="K23">
        <v>1.4999999999999999E-2</v>
      </c>
      <c r="L23">
        <v>3.1158999999999999</v>
      </c>
      <c r="M23">
        <v>3.0000000000000001E-3</v>
      </c>
      <c r="N23">
        <v>853.39499999999998</v>
      </c>
      <c r="O23">
        <v>0.68799999999999994</v>
      </c>
      <c r="S23" s="3">
        <v>45936</v>
      </c>
    </row>
    <row r="24" spans="1:19" x14ac:dyDescent="0.25">
      <c r="A24">
        <v>23</v>
      </c>
      <c r="B24" t="s">
        <v>30</v>
      </c>
      <c r="D24">
        <v>-46.363999999999997</v>
      </c>
      <c r="E24">
        <v>6.0960000000000001</v>
      </c>
      <c r="F24">
        <v>-47.167999999999999</v>
      </c>
      <c r="G24">
        <v>3.9340000000000002</v>
      </c>
      <c r="H24">
        <v>-0.47199999999999998</v>
      </c>
      <c r="I24">
        <v>0.67700000000000005</v>
      </c>
      <c r="J24">
        <v>3.1030000000000002</v>
      </c>
      <c r="K24">
        <v>1.2E-2</v>
      </c>
      <c r="L24">
        <v>3.145</v>
      </c>
      <c r="M24">
        <v>3.0000000000000001E-3</v>
      </c>
      <c r="N24">
        <v>819.221</v>
      </c>
      <c r="O24">
        <v>0.49099999999999999</v>
      </c>
      <c r="S24" s="3">
        <v>45936</v>
      </c>
    </row>
    <row r="25" spans="1:19" x14ac:dyDescent="0.25">
      <c r="A25">
        <v>24</v>
      </c>
      <c r="B25" t="s">
        <v>31</v>
      </c>
      <c r="D25">
        <v>-56.139000000000003</v>
      </c>
      <c r="E25">
        <v>6.7160000000000002</v>
      </c>
      <c r="F25">
        <v>-51.718000000000004</v>
      </c>
      <c r="G25">
        <v>4.4169999999999998</v>
      </c>
      <c r="H25">
        <v>-8.9700000000000006</v>
      </c>
      <c r="I25">
        <v>0.72799999999999998</v>
      </c>
      <c r="J25">
        <v>2.8740000000000001</v>
      </c>
      <c r="K25">
        <v>1.4E-2</v>
      </c>
      <c r="L25">
        <v>2.8839999999999999</v>
      </c>
      <c r="M25">
        <v>4.0000000000000001E-3</v>
      </c>
      <c r="N25">
        <v>480.96</v>
      </c>
      <c r="O25">
        <v>0.375</v>
      </c>
      <c r="S25" s="3">
        <v>45936</v>
      </c>
    </row>
    <row r="26" spans="1:19" x14ac:dyDescent="0.25">
      <c r="A26">
        <v>1</v>
      </c>
      <c r="B26" t="s">
        <v>15</v>
      </c>
      <c r="S26" s="3">
        <v>45937</v>
      </c>
    </row>
    <row r="27" spans="1:19" x14ac:dyDescent="0.25">
      <c r="A27">
        <v>2</v>
      </c>
      <c r="B27" t="s">
        <v>16</v>
      </c>
      <c r="D27">
        <v>-42.43</v>
      </c>
      <c r="E27">
        <v>0.55700000000000005</v>
      </c>
      <c r="H27">
        <v>-43.241999999999997</v>
      </c>
      <c r="I27">
        <v>0.621</v>
      </c>
      <c r="J27">
        <v>34.113999999999997</v>
      </c>
      <c r="K27">
        <v>0.04</v>
      </c>
      <c r="L27">
        <v>33.404000000000003</v>
      </c>
      <c r="M27">
        <v>0</v>
      </c>
      <c r="N27">
        <v>1740.194</v>
      </c>
      <c r="O27">
        <v>1.143</v>
      </c>
      <c r="S27" s="3">
        <v>45937</v>
      </c>
    </row>
    <row r="28" spans="1:19" x14ac:dyDescent="0.25">
      <c r="A28">
        <v>3</v>
      </c>
      <c r="B28" t="s">
        <v>48</v>
      </c>
      <c r="D28">
        <v>-40.43</v>
      </c>
      <c r="E28">
        <v>6.4740000000000002</v>
      </c>
      <c r="F28">
        <v>-44.186999999999998</v>
      </c>
      <c r="G28">
        <v>4.3250000000000002</v>
      </c>
      <c r="H28">
        <v>-41.151000000000003</v>
      </c>
      <c r="I28">
        <v>1.0629999999999999</v>
      </c>
      <c r="J28">
        <v>2.871</v>
      </c>
      <c r="K28">
        <v>1.7000000000000001E-2</v>
      </c>
      <c r="L28">
        <v>2.891</v>
      </c>
      <c r="M28">
        <v>5.0000000000000001E-3</v>
      </c>
      <c r="N28">
        <v>487.43299999999999</v>
      </c>
      <c r="O28">
        <v>0.57999999999999996</v>
      </c>
      <c r="S28" s="3">
        <v>45937</v>
      </c>
    </row>
    <row r="29" spans="1:19" x14ac:dyDescent="0.25">
      <c r="A29">
        <v>4</v>
      </c>
      <c r="B29" t="s">
        <v>156</v>
      </c>
      <c r="D29">
        <v>-51.84</v>
      </c>
      <c r="E29">
        <v>5.6609999999999996</v>
      </c>
      <c r="F29">
        <v>-47.305999999999997</v>
      </c>
      <c r="G29">
        <v>3.004</v>
      </c>
      <c r="H29">
        <v>-11.95</v>
      </c>
      <c r="I29">
        <v>0.58699999999999997</v>
      </c>
      <c r="J29">
        <v>3.1419999999999999</v>
      </c>
      <c r="K29">
        <v>1.4999999999999999E-2</v>
      </c>
      <c r="L29">
        <v>3.1680000000000001</v>
      </c>
      <c r="M29">
        <v>5.0000000000000001E-3</v>
      </c>
      <c r="N29">
        <v>751.36699999999996</v>
      </c>
      <c r="O29">
        <v>0.745</v>
      </c>
      <c r="S29" s="3">
        <v>45937</v>
      </c>
    </row>
    <row r="30" spans="1:19" x14ac:dyDescent="0.25">
      <c r="A30">
        <v>5</v>
      </c>
      <c r="B30" t="s">
        <v>157</v>
      </c>
      <c r="D30">
        <v>-60.124000000000002</v>
      </c>
      <c r="E30">
        <v>5.7249999999999996</v>
      </c>
      <c r="F30">
        <v>-50.881999999999998</v>
      </c>
      <c r="G30">
        <v>4.4279999999999999</v>
      </c>
      <c r="H30">
        <v>-12.183999999999999</v>
      </c>
      <c r="I30">
        <v>0.94</v>
      </c>
      <c r="J30">
        <v>3.0430000000000001</v>
      </c>
      <c r="K30">
        <v>1.2999999999999999E-2</v>
      </c>
      <c r="L30">
        <v>3.0430000000000001</v>
      </c>
      <c r="M30">
        <v>7.0000000000000001E-3</v>
      </c>
      <c r="N30">
        <v>663.23900000000003</v>
      </c>
      <c r="O30">
        <v>1.0900000000000001</v>
      </c>
      <c r="R30" t="s">
        <v>33</v>
      </c>
      <c r="S30" s="3">
        <v>45937</v>
      </c>
    </row>
    <row r="31" spans="1:19" x14ac:dyDescent="0.25">
      <c r="A31">
        <v>6</v>
      </c>
      <c r="B31" t="s">
        <v>158</v>
      </c>
      <c r="D31">
        <v>-58.561</v>
      </c>
      <c r="E31">
        <v>4.6059999999999999</v>
      </c>
      <c r="F31">
        <v>-51.554000000000002</v>
      </c>
      <c r="G31">
        <v>3.4390000000000001</v>
      </c>
      <c r="H31">
        <v>-11.218</v>
      </c>
      <c r="I31">
        <v>0.63</v>
      </c>
      <c r="J31">
        <v>3.286</v>
      </c>
      <c r="K31">
        <v>1.4E-2</v>
      </c>
      <c r="L31">
        <v>3.2970000000000002</v>
      </c>
      <c r="M31">
        <v>4.0000000000000001E-3</v>
      </c>
      <c r="N31">
        <v>785.245</v>
      </c>
      <c r="O31">
        <v>0.65500000000000003</v>
      </c>
      <c r="S31" s="3">
        <v>45937</v>
      </c>
    </row>
    <row r="32" spans="1:19" x14ac:dyDescent="0.25">
      <c r="A32">
        <v>7</v>
      </c>
      <c r="B32" t="s">
        <v>159</v>
      </c>
      <c r="D32">
        <v>-68.421999999999997</v>
      </c>
      <c r="E32">
        <v>4.6239999999999997</v>
      </c>
      <c r="F32">
        <v>-58.709000000000003</v>
      </c>
      <c r="G32">
        <v>2.8180000000000001</v>
      </c>
      <c r="H32">
        <v>-12.592000000000001</v>
      </c>
      <c r="I32">
        <v>0.96299999999999997</v>
      </c>
      <c r="J32">
        <v>3.7930000000000001</v>
      </c>
      <c r="K32">
        <v>1.7000000000000001E-2</v>
      </c>
      <c r="L32">
        <v>3.7949999999999999</v>
      </c>
      <c r="M32">
        <v>5.0000000000000001E-3</v>
      </c>
      <c r="N32">
        <v>676.09199999999998</v>
      </c>
      <c r="O32">
        <v>0.51100000000000001</v>
      </c>
      <c r="S32" s="3">
        <v>45937</v>
      </c>
    </row>
    <row r="33" spans="1:20" x14ac:dyDescent="0.25">
      <c r="A33">
        <v>8</v>
      </c>
      <c r="B33" t="s">
        <v>160</v>
      </c>
      <c r="D33">
        <v>-64.052000000000007</v>
      </c>
      <c r="E33">
        <v>5.4889999999999999</v>
      </c>
      <c r="F33">
        <v>-53.707999999999998</v>
      </c>
      <c r="G33">
        <v>3.9350000000000001</v>
      </c>
      <c r="H33">
        <v>-12.247999999999999</v>
      </c>
      <c r="I33">
        <v>0.71</v>
      </c>
      <c r="J33">
        <v>3.31</v>
      </c>
      <c r="K33">
        <v>1.6E-2</v>
      </c>
      <c r="L33">
        <v>3.319</v>
      </c>
      <c r="M33">
        <v>3.0000000000000001E-3</v>
      </c>
      <c r="N33">
        <v>699.29700000000003</v>
      </c>
      <c r="O33">
        <v>0.49399999999999999</v>
      </c>
      <c r="S33" s="3">
        <v>45937</v>
      </c>
    </row>
    <row r="34" spans="1:20" x14ac:dyDescent="0.25">
      <c r="A34" s="1">
        <v>9</v>
      </c>
      <c r="B34" s="1" t="s">
        <v>161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" t="s">
        <v>40</v>
      </c>
      <c r="S34" s="3">
        <v>45937</v>
      </c>
      <c r="T34" t="s">
        <v>148</v>
      </c>
    </row>
    <row r="35" spans="1:20" x14ac:dyDescent="0.25">
      <c r="A35">
        <v>10</v>
      </c>
      <c r="B35" t="s">
        <v>161</v>
      </c>
      <c r="C35">
        <f>(45-20)/(45-20+20)</f>
        <v>0.55555555555555558</v>
      </c>
      <c r="D35">
        <v>-53.125</v>
      </c>
      <c r="E35">
        <v>7.7779999999999996</v>
      </c>
      <c r="F35">
        <v>-51.04</v>
      </c>
      <c r="G35">
        <v>5.3179999999999996</v>
      </c>
      <c r="H35">
        <v>-11.744999999999999</v>
      </c>
      <c r="I35">
        <v>0.80800000000000005</v>
      </c>
      <c r="J35">
        <v>2.6709999999999998</v>
      </c>
      <c r="K35">
        <v>1.6E-2</v>
      </c>
      <c r="L35">
        <v>2.702</v>
      </c>
      <c r="M35">
        <v>2E-3</v>
      </c>
      <c r="N35">
        <v>408.596</v>
      </c>
      <c r="O35">
        <v>0.216</v>
      </c>
      <c r="S35" s="3">
        <v>45937</v>
      </c>
    </row>
    <row r="36" spans="1:20" x14ac:dyDescent="0.25">
      <c r="A36">
        <v>11</v>
      </c>
      <c r="B36" t="s">
        <v>48</v>
      </c>
      <c r="D36">
        <v>-43.143000000000001</v>
      </c>
      <c r="E36">
        <v>6.66</v>
      </c>
      <c r="F36">
        <v>-45.210999999999999</v>
      </c>
      <c r="G36">
        <v>4.6459999999999999</v>
      </c>
      <c r="H36">
        <v>-41.06</v>
      </c>
      <c r="I36">
        <v>1.0569999999999999</v>
      </c>
      <c r="J36">
        <v>2.8</v>
      </c>
      <c r="K36">
        <v>1.4E-2</v>
      </c>
      <c r="L36">
        <v>2.8260000000000001</v>
      </c>
      <c r="M36">
        <v>4.0000000000000001E-3</v>
      </c>
      <c r="N36">
        <v>465.959</v>
      </c>
      <c r="O36">
        <v>0.437</v>
      </c>
      <c r="S36" s="3">
        <v>45937</v>
      </c>
    </row>
    <row r="37" spans="1:20" x14ac:dyDescent="0.25">
      <c r="A37">
        <v>12</v>
      </c>
      <c r="B37" t="s">
        <v>41</v>
      </c>
      <c r="D37">
        <v>-44.362000000000002</v>
      </c>
      <c r="E37">
        <v>6.3040000000000003</v>
      </c>
      <c r="F37">
        <v>-44.588000000000001</v>
      </c>
      <c r="G37">
        <v>4.9210000000000003</v>
      </c>
      <c r="H37">
        <v>-11.271000000000001</v>
      </c>
      <c r="I37">
        <v>0.8</v>
      </c>
      <c r="J37">
        <v>2.8820000000000001</v>
      </c>
      <c r="K37">
        <v>1.4E-2</v>
      </c>
      <c r="L37">
        <v>2.9119999999999999</v>
      </c>
      <c r="M37">
        <v>5.0000000000000001E-3</v>
      </c>
      <c r="N37">
        <v>725.83500000000004</v>
      </c>
      <c r="O37">
        <v>0.752</v>
      </c>
      <c r="S37" s="3">
        <v>45937</v>
      </c>
    </row>
    <row r="38" spans="1:20" x14ac:dyDescent="0.25">
      <c r="A38">
        <v>13</v>
      </c>
      <c r="B38" t="s">
        <v>43</v>
      </c>
      <c r="D38">
        <v>-48.841000000000001</v>
      </c>
      <c r="E38">
        <v>6.476</v>
      </c>
      <c r="F38">
        <v>-45.673000000000002</v>
      </c>
      <c r="G38">
        <v>4.1429999999999998</v>
      </c>
      <c r="H38">
        <v>-11.563000000000001</v>
      </c>
      <c r="I38">
        <v>0.60299999999999998</v>
      </c>
      <c r="J38">
        <v>3.0590000000000002</v>
      </c>
      <c r="K38">
        <v>1.4999999999999999E-2</v>
      </c>
      <c r="L38">
        <v>3.0840000000000001</v>
      </c>
      <c r="M38">
        <v>5.0000000000000001E-3</v>
      </c>
      <c r="N38">
        <v>865.84900000000005</v>
      </c>
      <c r="O38">
        <v>0.8</v>
      </c>
      <c r="S38" s="3">
        <v>45937</v>
      </c>
    </row>
    <row r="39" spans="1:20" x14ac:dyDescent="0.25">
      <c r="A39">
        <v>14</v>
      </c>
      <c r="B39" t="s">
        <v>44</v>
      </c>
      <c r="D39">
        <v>-44.210999999999999</v>
      </c>
      <c r="E39">
        <v>6.8</v>
      </c>
      <c r="F39">
        <v>-46.029000000000003</v>
      </c>
      <c r="G39">
        <v>3.3849999999999998</v>
      </c>
      <c r="H39">
        <v>-12.005000000000001</v>
      </c>
      <c r="I39">
        <v>0.74299999999999999</v>
      </c>
      <c r="J39">
        <v>2.9710000000000001</v>
      </c>
      <c r="K39">
        <v>1.9E-2</v>
      </c>
      <c r="L39">
        <v>3.01</v>
      </c>
      <c r="M39">
        <v>4.0000000000000001E-3</v>
      </c>
      <c r="N39">
        <v>697.78300000000002</v>
      </c>
      <c r="O39">
        <v>0.68799999999999994</v>
      </c>
      <c r="S39" s="3">
        <v>45937</v>
      </c>
    </row>
    <row r="40" spans="1:20" x14ac:dyDescent="0.25">
      <c r="A40">
        <v>15</v>
      </c>
      <c r="B40" t="s">
        <v>45</v>
      </c>
      <c r="D40">
        <v>-44.311</v>
      </c>
      <c r="E40">
        <v>5.9930000000000003</v>
      </c>
      <c r="F40">
        <v>-44.881</v>
      </c>
      <c r="G40">
        <v>3.5470000000000002</v>
      </c>
      <c r="H40">
        <v>-12.571999999999999</v>
      </c>
      <c r="I40">
        <v>0.61499999999999999</v>
      </c>
      <c r="J40">
        <v>2.9929999999999999</v>
      </c>
      <c r="K40">
        <v>1.2999999999999999E-2</v>
      </c>
      <c r="L40">
        <v>3.032</v>
      </c>
      <c r="M40">
        <v>3.0000000000000001E-3</v>
      </c>
      <c r="N40">
        <v>770.75599999999997</v>
      </c>
      <c r="O40">
        <v>0.47499999999999998</v>
      </c>
      <c r="S40" s="3">
        <v>45937</v>
      </c>
    </row>
    <row r="41" spans="1:20" x14ac:dyDescent="0.25">
      <c r="A41">
        <v>16</v>
      </c>
      <c r="B41" t="s">
        <v>46</v>
      </c>
      <c r="D41">
        <v>-45.752000000000002</v>
      </c>
      <c r="E41">
        <v>6.6070000000000002</v>
      </c>
      <c r="F41">
        <v>-45.061999999999998</v>
      </c>
      <c r="G41">
        <v>3.891</v>
      </c>
      <c r="H41">
        <v>-11.414</v>
      </c>
      <c r="I41">
        <v>0.68300000000000005</v>
      </c>
      <c r="J41">
        <v>2.9820000000000002</v>
      </c>
      <c r="K41">
        <v>1.4999999999999999E-2</v>
      </c>
      <c r="L41">
        <v>3.0230000000000001</v>
      </c>
      <c r="M41">
        <v>3.0000000000000001E-3</v>
      </c>
      <c r="N41">
        <v>724.26800000000003</v>
      </c>
      <c r="O41">
        <v>0.51800000000000002</v>
      </c>
      <c r="S41" s="3">
        <v>45937</v>
      </c>
    </row>
    <row r="42" spans="1:20" x14ac:dyDescent="0.25">
      <c r="A42">
        <v>17</v>
      </c>
      <c r="B42" t="s">
        <v>47</v>
      </c>
      <c r="D42">
        <v>-47.371000000000002</v>
      </c>
      <c r="E42">
        <v>5.923</v>
      </c>
      <c r="F42">
        <v>-45.831000000000003</v>
      </c>
      <c r="G42">
        <v>3.8820000000000001</v>
      </c>
      <c r="H42">
        <v>-12.881</v>
      </c>
      <c r="I42">
        <v>0.67900000000000005</v>
      </c>
      <c r="J42">
        <v>3.069</v>
      </c>
      <c r="K42">
        <v>1.4E-2</v>
      </c>
      <c r="L42">
        <v>3.1040000000000001</v>
      </c>
      <c r="M42">
        <v>4.0000000000000001E-3</v>
      </c>
      <c r="N42">
        <v>738.18100000000004</v>
      </c>
      <c r="O42">
        <v>0.66200000000000003</v>
      </c>
      <c r="S42" s="3">
        <v>45937</v>
      </c>
    </row>
    <row r="43" spans="1:20" x14ac:dyDescent="0.25">
      <c r="A43">
        <v>18</v>
      </c>
      <c r="B43" t="s">
        <v>15</v>
      </c>
      <c r="S43" s="3">
        <v>45937</v>
      </c>
    </row>
    <row r="44" spans="1:20" x14ac:dyDescent="0.25">
      <c r="A44">
        <v>19</v>
      </c>
      <c r="B44" t="s">
        <v>49</v>
      </c>
      <c r="D44">
        <v>-46.744999999999997</v>
      </c>
      <c r="E44">
        <v>6.58</v>
      </c>
      <c r="F44">
        <v>-47.305999999999997</v>
      </c>
      <c r="G44">
        <v>5.2279999999999998</v>
      </c>
      <c r="H44">
        <v>-39.651000000000003</v>
      </c>
      <c r="I44">
        <v>1.071</v>
      </c>
      <c r="J44">
        <v>2.7530000000000001</v>
      </c>
      <c r="K44">
        <v>1.9E-2</v>
      </c>
      <c r="L44">
        <v>2.7719999999999998</v>
      </c>
      <c r="M44">
        <v>4.0000000000000001E-3</v>
      </c>
      <c r="N44">
        <v>457.47500000000002</v>
      </c>
      <c r="O44">
        <v>0.40100000000000002</v>
      </c>
      <c r="S44" s="3">
        <v>45937</v>
      </c>
    </row>
    <row r="45" spans="1:20" x14ac:dyDescent="0.25">
      <c r="A45">
        <v>20</v>
      </c>
      <c r="B45" t="s">
        <v>50</v>
      </c>
      <c r="D45">
        <v>-52.552</v>
      </c>
      <c r="E45">
        <v>2.415</v>
      </c>
      <c r="F45">
        <v>-49.343000000000004</v>
      </c>
      <c r="G45">
        <v>1.5589999999999999</v>
      </c>
      <c r="H45">
        <v>-12.375</v>
      </c>
      <c r="I45">
        <v>0.77500000000000002</v>
      </c>
      <c r="J45">
        <v>7.2930000000000001</v>
      </c>
      <c r="K45">
        <v>2.1000000000000001E-2</v>
      </c>
      <c r="L45">
        <v>7.3339999999999996</v>
      </c>
      <c r="M45">
        <v>0.01</v>
      </c>
      <c r="N45">
        <v>691.34900000000005</v>
      </c>
      <c r="O45">
        <v>0.63200000000000001</v>
      </c>
      <c r="S45" s="3">
        <v>45937</v>
      </c>
    </row>
    <row r="46" spans="1:20" x14ac:dyDescent="0.25">
      <c r="A46">
        <v>21</v>
      </c>
      <c r="B46" t="s">
        <v>51</v>
      </c>
      <c r="D46">
        <v>-44.884999999999998</v>
      </c>
      <c r="E46">
        <v>4.7510000000000003</v>
      </c>
      <c r="F46">
        <v>-45.420999999999999</v>
      </c>
      <c r="G46">
        <v>3.238</v>
      </c>
      <c r="H46">
        <v>-10.846</v>
      </c>
      <c r="I46">
        <v>0.47499999999999998</v>
      </c>
      <c r="J46">
        <v>2.9929999999999999</v>
      </c>
      <c r="K46">
        <v>1.4E-2</v>
      </c>
      <c r="L46">
        <v>3.0259999999999998</v>
      </c>
      <c r="M46">
        <v>4.0000000000000001E-3</v>
      </c>
      <c r="N46">
        <v>981.56299999999999</v>
      </c>
      <c r="O46">
        <v>0.78400000000000003</v>
      </c>
      <c r="S46" s="3">
        <v>45937</v>
      </c>
    </row>
    <row r="47" spans="1:20" x14ac:dyDescent="0.25">
      <c r="A47">
        <v>22</v>
      </c>
      <c r="B47" t="s">
        <v>52</v>
      </c>
      <c r="D47">
        <v>-43.213999999999999</v>
      </c>
      <c r="E47">
        <v>6.2850000000000001</v>
      </c>
      <c r="F47">
        <v>-43.503</v>
      </c>
      <c r="G47">
        <v>3.9740000000000002</v>
      </c>
      <c r="H47">
        <v>-11.532</v>
      </c>
      <c r="I47">
        <v>0.78</v>
      </c>
      <c r="J47">
        <v>3.05</v>
      </c>
      <c r="K47">
        <v>1.6E-2</v>
      </c>
      <c r="L47">
        <v>3.081</v>
      </c>
      <c r="M47">
        <v>5.0000000000000001E-3</v>
      </c>
      <c r="N47">
        <v>647.85599999999999</v>
      </c>
      <c r="O47">
        <v>0.65400000000000003</v>
      </c>
      <c r="S47" s="3">
        <v>45937</v>
      </c>
    </row>
    <row r="48" spans="1:20" x14ac:dyDescent="0.25">
      <c r="A48">
        <v>23</v>
      </c>
      <c r="B48" t="s">
        <v>53</v>
      </c>
      <c r="D48">
        <v>-46.03</v>
      </c>
      <c r="E48">
        <v>7.3659999999999997</v>
      </c>
      <c r="F48">
        <v>-45.878</v>
      </c>
      <c r="G48">
        <v>4.55</v>
      </c>
      <c r="H48">
        <v>-10.721</v>
      </c>
      <c r="I48">
        <v>0.84499999999999997</v>
      </c>
      <c r="J48">
        <v>2.9220000000000002</v>
      </c>
      <c r="K48">
        <v>1.7000000000000001E-2</v>
      </c>
      <c r="L48">
        <v>2.9580000000000002</v>
      </c>
      <c r="M48">
        <v>5.0000000000000001E-3</v>
      </c>
      <c r="N48">
        <v>667.96100000000001</v>
      </c>
      <c r="O48">
        <v>0.78</v>
      </c>
      <c r="S48" s="3">
        <v>45937</v>
      </c>
    </row>
    <row r="49" spans="1:19" x14ac:dyDescent="0.25">
      <c r="A49">
        <v>24</v>
      </c>
      <c r="B49" t="s">
        <v>54</v>
      </c>
      <c r="D49">
        <v>-43.923999999999999</v>
      </c>
      <c r="E49">
        <v>6.1130000000000004</v>
      </c>
      <c r="F49">
        <v>-43.212000000000003</v>
      </c>
      <c r="G49">
        <v>3.617</v>
      </c>
      <c r="H49">
        <v>-11.996</v>
      </c>
      <c r="I49">
        <v>0.94099999999999995</v>
      </c>
      <c r="J49">
        <v>2.94</v>
      </c>
      <c r="K49">
        <v>1.4999999999999999E-2</v>
      </c>
      <c r="L49">
        <v>2.9729999999999999</v>
      </c>
      <c r="M49">
        <v>4.0000000000000001E-3</v>
      </c>
      <c r="N49">
        <v>588.48</v>
      </c>
      <c r="O49">
        <v>0.54800000000000004</v>
      </c>
      <c r="S49" s="3">
        <v>45937</v>
      </c>
    </row>
    <row r="50" spans="1:19" x14ac:dyDescent="0.25">
      <c r="A50">
        <v>25</v>
      </c>
      <c r="B50" t="s">
        <v>55</v>
      </c>
      <c r="D50">
        <v>-45.472000000000001</v>
      </c>
      <c r="E50">
        <v>7.0279999999999996</v>
      </c>
      <c r="F50">
        <v>-45.070999999999998</v>
      </c>
      <c r="G50">
        <v>4.7640000000000002</v>
      </c>
      <c r="H50">
        <v>-11.573</v>
      </c>
      <c r="I50">
        <v>0.627</v>
      </c>
      <c r="J50">
        <v>2.911</v>
      </c>
      <c r="K50">
        <v>1.6E-2</v>
      </c>
      <c r="L50">
        <v>2.9449999999999998</v>
      </c>
      <c r="M50">
        <v>4.0000000000000001E-3</v>
      </c>
      <c r="N50">
        <v>656.35699999999997</v>
      </c>
      <c r="O50">
        <v>0.47899999999999998</v>
      </c>
      <c r="S50" s="3">
        <v>45937</v>
      </c>
    </row>
    <row r="51" spans="1:19" x14ac:dyDescent="0.25">
      <c r="A51">
        <v>26</v>
      </c>
      <c r="B51" t="s">
        <v>50</v>
      </c>
      <c r="C51">
        <f>(45-20)/(45-20+20)</f>
        <v>0.55555555555555558</v>
      </c>
      <c r="D51">
        <v>-52.381999999999998</v>
      </c>
      <c r="E51">
        <v>5.0090000000000003</v>
      </c>
      <c r="F51">
        <v>-49.320999999999998</v>
      </c>
      <c r="G51">
        <v>3.2389999999999999</v>
      </c>
      <c r="H51">
        <v>-11.028</v>
      </c>
      <c r="I51">
        <v>1.2569999999999999</v>
      </c>
      <c r="J51">
        <v>3.9660000000000002</v>
      </c>
      <c r="K51">
        <v>1.4999999999999999E-2</v>
      </c>
      <c r="L51">
        <v>3.9940000000000002</v>
      </c>
      <c r="M51">
        <v>6.0000000000000001E-3</v>
      </c>
      <c r="N51">
        <v>394.52600000000001</v>
      </c>
      <c r="O51">
        <v>0.40200000000000002</v>
      </c>
      <c r="S51" s="3">
        <v>45937</v>
      </c>
    </row>
    <row r="52" spans="1:19" x14ac:dyDescent="0.25">
      <c r="A52">
        <v>1</v>
      </c>
      <c r="B52" t="s">
        <v>15</v>
      </c>
      <c r="S52" s="3">
        <v>45938</v>
      </c>
    </row>
    <row r="53" spans="1:19" x14ac:dyDescent="0.25">
      <c r="A53">
        <v>2</v>
      </c>
      <c r="B53" t="s">
        <v>16</v>
      </c>
      <c r="D53">
        <v>-42.113999999999997</v>
      </c>
      <c r="E53">
        <v>0.5</v>
      </c>
      <c r="H53">
        <v>-44.094000000000001</v>
      </c>
      <c r="I53">
        <v>0.55500000000000005</v>
      </c>
      <c r="J53">
        <v>35.99</v>
      </c>
      <c r="K53">
        <v>4.5999999999999999E-2</v>
      </c>
      <c r="L53">
        <v>34.383000000000003</v>
      </c>
      <c r="M53">
        <v>0</v>
      </c>
      <c r="N53">
        <v>1775.7950000000001</v>
      </c>
      <c r="O53">
        <v>1.395</v>
      </c>
      <c r="S53" s="3">
        <v>45938</v>
      </c>
    </row>
    <row r="54" spans="1:19" x14ac:dyDescent="0.25">
      <c r="A54" s="5">
        <v>3</v>
      </c>
      <c r="B54" s="5" t="s">
        <v>56</v>
      </c>
      <c r="C54" s="5"/>
      <c r="D54" s="5">
        <v>-53.137</v>
      </c>
      <c r="E54" s="5">
        <v>0.33</v>
      </c>
      <c r="F54" s="5"/>
      <c r="G54" s="5"/>
      <c r="H54" s="5">
        <v>-37.619</v>
      </c>
      <c r="I54" s="5">
        <v>1.111</v>
      </c>
      <c r="J54" s="5">
        <v>405.14400000000001</v>
      </c>
      <c r="K54" s="5">
        <v>367</v>
      </c>
      <c r="L54" s="5"/>
      <c r="M54" s="5"/>
      <c r="N54" s="5">
        <v>479.125</v>
      </c>
      <c r="O54" s="5">
        <v>0.32900000000000001</v>
      </c>
      <c r="P54" s="5"/>
      <c r="Q54" s="5"/>
      <c r="R54" s="5" t="s">
        <v>57</v>
      </c>
      <c r="S54" s="3">
        <v>45938</v>
      </c>
    </row>
    <row r="55" spans="1:19" x14ac:dyDescent="0.25">
      <c r="A55">
        <v>4</v>
      </c>
      <c r="B55" t="s">
        <v>15</v>
      </c>
      <c r="S55" s="3">
        <v>45938</v>
      </c>
    </row>
    <row r="56" spans="1:19" x14ac:dyDescent="0.25">
      <c r="A56">
        <v>5</v>
      </c>
      <c r="B56" t="s">
        <v>56</v>
      </c>
      <c r="D56">
        <v>-51.813000000000002</v>
      </c>
      <c r="E56">
        <v>5.6669999999999998</v>
      </c>
      <c r="F56">
        <v>-50.554000000000002</v>
      </c>
      <c r="G56">
        <v>4.3</v>
      </c>
      <c r="H56">
        <v>-38.731999999999999</v>
      </c>
      <c r="I56">
        <v>0.76700000000000002</v>
      </c>
      <c r="J56">
        <v>2.8113000000000001</v>
      </c>
      <c r="K56">
        <v>1.4999999999999999E-2</v>
      </c>
      <c r="L56">
        <v>2.8239999999999998</v>
      </c>
      <c r="M56">
        <v>5.0000000000000001E-3</v>
      </c>
      <c r="N56">
        <v>476.38600000000002</v>
      </c>
      <c r="S56" s="3">
        <v>45938</v>
      </c>
    </row>
    <row r="57" spans="1:19" x14ac:dyDescent="0.25">
      <c r="A57">
        <v>6</v>
      </c>
      <c r="B57" t="s">
        <v>150</v>
      </c>
      <c r="D57">
        <v>-56.512999999999998</v>
      </c>
      <c r="E57">
        <v>5.1580000000000004</v>
      </c>
      <c r="F57">
        <v>-49.125999999999998</v>
      </c>
      <c r="G57">
        <v>3.3210000000000002</v>
      </c>
      <c r="H57">
        <v>-12.736000000000001</v>
      </c>
      <c r="I57">
        <v>0.875</v>
      </c>
      <c r="J57">
        <v>3.286</v>
      </c>
      <c r="K57">
        <v>1.4999999999999999E-2</v>
      </c>
      <c r="L57">
        <v>3.3010999999999999</v>
      </c>
      <c r="M57">
        <v>6.0000000000000001E-3</v>
      </c>
      <c r="N57">
        <v>675.45399999999995</v>
      </c>
      <c r="S57" s="3">
        <v>45938</v>
      </c>
    </row>
    <row r="58" spans="1:19" x14ac:dyDescent="0.25">
      <c r="A58">
        <v>7</v>
      </c>
      <c r="B58" t="s">
        <v>151</v>
      </c>
      <c r="D58">
        <v>-41.56</v>
      </c>
      <c r="E58">
        <v>5.6890000000000001</v>
      </c>
      <c r="F58">
        <v>-52.436</v>
      </c>
      <c r="G58">
        <v>4.218</v>
      </c>
      <c r="H58">
        <v>-11.237</v>
      </c>
      <c r="I58">
        <v>0.75600000000000001</v>
      </c>
      <c r="J58">
        <v>3.081</v>
      </c>
      <c r="K58">
        <v>1.4999999999999999E-2</v>
      </c>
      <c r="L58">
        <v>3.1179999999999999</v>
      </c>
      <c r="M58">
        <v>4.0000000000000001E-3</v>
      </c>
      <c r="N58">
        <v>714.80700000000002</v>
      </c>
      <c r="S58" s="3">
        <v>45938</v>
      </c>
    </row>
    <row r="59" spans="1:19" x14ac:dyDescent="0.25">
      <c r="A59">
        <v>8</v>
      </c>
      <c r="B59" t="s">
        <v>152</v>
      </c>
      <c r="D59">
        <v>-58.08</v>
      </c>
      <c r="E59">
        <v>5.7290000000000001</v>
      </c>
      <c r="F59">
        <v>-54.122</v>
      </c>
      <c r="G59">
        <v>3.4929999999999999</v>
      </c>
      <c r="H59">
        <v>-13.182</v>
      </c>
      <c r="I59">
        <v>0.86499999999999999</v>
      </c>
      <c r="J59">
        <v>3.83</v>
      </c>
      <c r="K59">
        <v>1.7000000000000001E-2</v>
      </c>
      <c r="L59">
        <v>3.85</v>
      </c>
      <c r="M59">
        <v>6.0000000000000001E-3</v>
      </c>
      <c r="N59">
        <v>669.86400000000003</v>
      </c>
      <c r="S59" s="3">
        <v>45938</v>
      </c>
    </row>
    <row r="60" spans="1:19" x14ac:dyDescent="0.25">
      <c r="A60">
        <v>9</v>
      </c>
      <c r="B60" t="s">
        <v>153</v>
      </c>
      <c r="D60">
        <v>-61.610999999999997</v>
      </c>
      <c r="E60">
        <v>5.3339999999999996</v>
      </c>
      <c r="F60">
        <v>-52.127000000000002</v>
      </c>
      <c r="G60">
        <v>3.75</v>
      </c>
      <c r="H60">
        <v>-11.818</v>
      </c>
      <c r="I60">
        <v>0.72399999999999998</v>
      </c>
      <c r="J60">
        <v>3.68</v>
      </c>
      <c r="K60">
        <v>1.4E-2</v>
      </c>
      <c r="L60">
        <v>3.698</v>
      </c>
      <c r="M60">
        <v>6.0000000000000001E-3</v>
      </c>
      <c r="N60">
        <v>731.47299999999996</v>
      </c>
      <c r="S60" s="3">
        <v>45938</v>
      </c>
    </row>
    <row r="61" spans="1:19" x14ac:dyDescent="0.25">
      <c r="A61">
        <v>10</v>
      </c>
      <c r="B61" t="s">
        <v>154</v>
      </c>
      <c r="D61">
        <v>-60.927</v>
      </c>
      <c r="E61">
        <v>5.0209999999999999</v>
      </c>
      <c r="F61">
        <v>-49.695</v>
      </c>
      <c r="G61">
        <v>3.8639999999999999</v>
      </c>
      <c r="H61">
        <v>-11.863</v>
      </c>
      <c r="I61">
        <v>0.71499999999999997</v>
      </c>
      <c r="J61">
        <v>3.5270000000000001</v>
      </c>
      <c r="K61">
        <v>1.6E-2</v>
      </c>
      <c r="L61">
        <v>3.5339999999999998</v>
      </c>
      <c r="M61">
        <v>5.0000000000000001E-3</v>
      </c>
      <c r="N61">
        <v>748.178</v>
      </c>
      <c r="S61" s="3">
        <v>45938</v>
      </c>
    </row>
    <row r="62" spans="1:19" x14ac:dyDescent="0.25">
      <c r="A62">
        <v>11</v>
      </c>
      <c r="B62" t="s">
        <v>155</v>
      </c>
      <c r="D62">
        <v>-51.862000000000002</v>
      </c>
      <c r="E62">
        <v>4.8739999999999997</v>
      </c>
      <c r="G62">
        <v>3.95</v>
      </c>
      <c r="H62">
        <v>-1.633</v>
      </c>
      <c r="I62">
        <v>0.71099999999999997</v>
      </c>
      <c r="J62">
        <v>3.2669999999999999</v>
      </c>
      <c r="K62">
        <v>1.2999999999999999E-2</v>
      </c>
      <c r="L62">
        <v>3.294</v>
      </c>
      <c r="M62">
        <v>5.0000000000000001E-3</v>
      </c>
      <c r="N62">
        <v>731.90800000000002</v>
      </c>
      <c r="S62" s="3">
        <v>45938</v>
      </c>
    </row>
    <row r="63" spans="1:19" x14ac:dyDescent="0.25">
      <c r="A63">
        <v>12</v>
      </c>
      <c r="B63" t="s">
        <v>16</v>
      </c>
      <c r="D63">
        <v>-42.079000000000001</v>
      </c>
      <c r="E63">
        <v>0.48099999999999998</v>
      </c>
      <c r="H63">
        <v>-43.704999999999998</v>
      </c>
      <c r="I63">
        <v>0.56999999999999995</v>
      </c>
      <c r="J63">
        <v>35.844999999999999</v>
      </c>
      <c r="K63">
        <v>3.9E-2</v>
      </c>
      <c r="L63">
        <v>35.229999999999997</v>
      </c>
      <c r="M63">
        <v>0</v>
      </c>
      <c r="N63">
        <v>1819.0160000000001</v>
      </c>
      <c r="S63" s="3">
        <v>45938</v>
      </c>
    </row>
    <row r="64" spans="1:19" x14ac:dyDescent="0.25">
      <c r="A64">
        <v>13</v>
      </c>
      <c r="B64" t="s">
        <v>48</v>
      </c>
      <c r="D64">
        <v>-40.259</v>
      </c>
      <c r="E64">
        <v>6.9870000000000001</v>
      </c>
      <c r="F64">
        <v>-44.476999999999997</v>
      </c>
      <c r="G64">
        <v>3.879</v>
      </c>
      <c r="H64">
        <v>-41.323</v>
      </c>
      <c r="I64">
        <v>0.85399999999999998</v>
      </c>
      <c r="J64">
        <v>3.0089999999999999</v>
      </c>
      <c r="K64">
        <v>1.6E-2</v>
      </c>
      <c r="L64">
        <v>3.0289999999999999</v>
      </c>
      <c r="M64">
        <v>4.0000000000000001E-3</v>
      </c>
      <c r="N64">
        <v>481.99</v>
      </c>
      <c r="S64" s="3">
        <v>45938</v>
      </c>
    </row>
    <row r="65" spans="1:19" x14ac:dyDescent="0.25">
      <c r="A65">
        <v>14</v>
      </c>
      <c r="B65" t="s">
        <v>64</v>
      </c>
      <c r="D65">
        <v>-42.265000000000001</v>
      </c>
      <c r="E65">
        <v>6.9390000000000001</v>
      </c>
      <c r="F65">
        <v>-44.798000000000002</v>
      </c>
      <c r="G65">
        <v>3.8759999999999999</v>
      </c>
      <c r="H65">
        <v>-39.738999999999997</v>
      </c>
      <c r="I65">
        <v>0.97299999999999998</v>
      </c>
      <c r="J65">
        <v>2.9420000000000002</v>
      </c>
      <c r="K65">
        <v>1.9E-2</v>
      </c>
      <c r="L65">
        <v>2.97</v>
      </c>
      <c r="M65">
        <v>4.0000000000000001E-3</v>
      </c>
      <c r="N65">
        <v>480.58300000000003</v>
      </c>
      <c r="S65" s="3">
        <v>45938</v>
      </c>
    </row>
    <row r="66" spans="1:19" x14ac:dyDescent="0.25">
      <c r="A66" s="5">
        <v>15</v>
      </c>
      <c r="B66" s="5" t="s">
        <v>65</v>
      </c>
      <c r="C66" s="5"/>
      <c r="D66" s="5"/>
      <c r="E66" s="5"/>
      <c r="F66" s="5"/>
      <c r="G66" s="5"/>
      <c r="H66" s="5"/>
      <c r="I66" s="5"/>
      <c r="J66" s="5">
        <v>5601</v>
      </c>
      <c r="K66" s="5"/>
      <c r="L66" s="5"/>
      <c r="M66" s="5"/>
      <c r="N66" s="5"/>
      <c r="O66" s="5"/>
      <c r="P66" s="5"/>
      <c r="Q66" s="5"/>
      <c r="R66" s="5" t="s">
        <v>66</v>
      </c>
      <c r="S66" s="3">
        <v>45938</v>
      </c>
    </row>
    <row r="67" spans="1:19" x14ac:dyDescent="0.25">
      <c r="A67">
        <v>1</v>
      </c>
      <c r="B67" t="s">
        <v>15</v>
      </c>
      <c r="S67" s="3">
        <v>45939</v>
      </c>
    </row>
    <row r="68" spans="1:19" x14ac:dyDescent="0.25">
      <c r="A68">
        <v>2</v>
      </c>
      <c r="B68" t="s">
        <v>15</v>
      </c>
      <c r="S68" s="3">
        <v>45939</v>
      </c>
    </row>
    <row r="69" spans="1:19" x14ac:dyDescent="0.25">
      <c r="A69">
        <v>3</v>
      </c>
      <c r="B69" t="s">
        <v>48</v>
      </c>
      <c r="D69">
        <v>-41.79</v>
      </c>
      <c r="E69">
        <v>5.65</v>
      </c>
      <c r="F69">
        <v>-44.177999999999997</v>
      </c>
      <c r="G69">
        <v>3.3610000000000002</v>
      </c>
      <c r="H69">
        <v>-41.893000000000001</v>
      </c>
      <c r="I69">
        <v>0.10589999999999999</v>
      </c>
      <c r="J69">
        <v>2.8849999999999998</v>
      </c>
      <c r="K69">
        <v>1.6E-2</v>
      </c>
      <c r="L69">
        <v>2.8980000000000001</v>
      </c>
      <c r="M69">
        <v>4.0000000000000001E-3</v>
      </c>
      <c r="N69">
        <v>470.71</v>
      </c>
      <c r="O69">
        <v>0.36799999999999999</v>
      </c>
      <c r="S69" s="3">
        <v>45939</v>
      </c>
    </row>
    <row r="70" spans="1:19" x14ac:dyDescent="0.25">
      <c r="A70">
        <v>4</v>
      </c>
      <c r="B70" t="s">
        <v>70</v>
      </c>
      <c r="D70">
        <v>-44.633000000000003</v>
      </c>
      <c r="E70">
        <v>6.0590000000000002</v>
      </c>
      <c r="F70">
        <v>-42.777000000000001</v>
      </c>
      <c r="G70">
        <v>4.3310000000000004</v>
      </c>
      <c r="H70">
        <v>-12.584</v>
      </c>
      <c r="I70">
        <v>0.83399999999999996</v>
      </c>
      <c r="J70">
        <v>3.0609999999999999</v>
      </c>
      <c r="K70">
        <v>1.4E-2</v>
      </c>
      <c r="L70">
        <v>3.0840000000000001</v>
      </c>
      <c r="M70">
        <v>4.0000000000000001E-3</v>
      </c>
      <c r="N70">
        <v>581.44100000000003</v>
      </c>
      <c r="O70">
        <v>0.56999999999999995</v>
      </c>
      <c r="S70" s="3">
        <v>45939</v>
      </c>
    </row>
    <row r="71" spans="1:19" x14ac:dyDescent="0.25">
      <c r="A71">
        <v>5</v>
      </c>
      <c r="B71" t="s">
        <v>71</v>
      </c>
      <c r="D71">
        <v>-53.003</v>
      </c>
      <c r="E71">
        <v>5.625</v>
      </c>
      <c r="F71">
        <v>-46.734000000000002</v>
      </c>
      <c r="G71">
        <v>3.629</v>
      </c>
      <c r="H71">
        <v>-12.702</v>
      </c>
      <c r="I71">
        <v>0.73599999999999999</v>
      </c>
      <c r="J71">
        <v>3.27</v>
      </c>
      <c r="K71">
        <v>1.7999999999999999E-2</v>
      </c>
      <c r="L71">
        <v>3.286</v>
      </c>
      <c r="M71">
        <v>4.0000000000000001E-3</v>
      </c>
      <c r="N71">
        <v>702.11850000000004</v>
      </c>
      <c r="O71">
        <v>0.58099999999999996</v>
      </c>
      <c r="S71" s="3">
        <v>45939</v>
      </c>
    </row>
    <row r="72" spans="1:19" x14ac:dyDescent="0.25">
      <c r="A72">
        <v>6</v>
      </c>
      <c r="B72" t="s">
        <v>72</v>
      </c>
      <c r="D72">
        <v>-46.966999999999999</v>
      </c>
      <c r="E72">
        <v>5.0730000000000004</v>
      </c>
      <c r="F72">
        <v>-45.578000000000003</v>
      </c>
      <c r="G72">
        <v>3.2</v>
      </c>
      <c r="H72">
        <v>-11.958</v>
      </c>
      <c r="I72">
        <v>0.69199999999999995</v>
      </c>
      <c r="J72">
        <v>3.048</v>
      </c>
      <c r="K72">
        <v>1.4E-2</v>
      </c>
      <c r="L72">
        <v>3.048</v>
      </c>
      <c r="M72">
        <v>3.0000000000000001E-3</v>
      </c>
      <c r="N72">
        <v>672.02300000000002</v>
      </c>
      <c r="O72">
        <v>0.432</v>
      </c>
      <c r="S72" s="3">
        <v>45939</v>
      </c>
    </row>
    <row r="73" spans="1:19" x14ac:dyDescent="0.25">
      <c r="A73">
        <v>7</v>
      </c>
      <c r="B73" t="s">
        <v>73</v>
      </c>
      <c r="D73">
        <v>-53.671999999999997</v>
      </c>
      <c r="E73">
        <v>5.9020000000000001</v>
      </c>
      <c r="F73">
        <v>-47.874000000000002</v>
      </c>
      <c r="G73">
        <v>3.98</v>
      </c>
      <c r="H73">
        <v>-13.012</v>
      </c>
      <c r="I73">
        <v>0.79</v>
      </c>
      <c r="J73">
        <v>3.2370000000000001</v>
      </c>
      <c r="K73">
        <v>1.4E-2</v>
      </c>
      <c r="L73">
        <v>3.2370000000000001</v>
      </c>
      <c r="M73">
        <v>4.0000000000000001E-3</v>
      </c>
      <c r="N73">
        <v>634.42399999999998</v>
      </c>
      <c r="O73">
        <v>0.51200000000000001</v>
      </c>
      <c r="S73" s="3">
        <v>45939</v>
      </c>
    </row>
    <row r="74" spans="1:19" x14ac:dyDescent="0.25">
      <c r="A74">
        <v>8</v>
      </c>
      <c r="B74" t="s">
        <v>74</v>
      </c>
      <c r="D74">
        <v>-60.186999999999998</v>
      </c>
      <c r="E74">
        <v>4.2629999999999999</v>
      </c>
      <c r="F74">
        <v>-49.677</v>
      </c>
      <c r="G74">
        <v>2.5630000000000002</v>
      </c>
      <c r="H74">
        <v>-12.27</v>
      </c>
      <c r="I74">
        <v>0.72799999999999998</v>
      </c>
      <c r="J74">
        <v>3.6040000000000001</v>
      </c>
      <c r="K74">
        <v>1.4E-2</v>
      </c>
      <c r="L74">
        <v>3.6120000000000001</v>
      </c>
      <c r="M74">
        <v>3.0000000000000001E-3</v>
      </c>
      <c r="N74">
        <v>769.37800000000004</v>
      </c>
      <c r="O74">
        <v>0.435</v>
      </c>
      <c r="S74" s="3">
        <v>45939</v>
      </c>
    </row>
    <row r="75" spans="1:19" x14ac:dyDescent="0.25">
      <c r="A75">
        <v>9</v>
      </c>
      <c r="B75" t="s">
        <v>75</v>
      </c>
      <c r="D75">
        <v>-64.046999999999997</v>
      </c>
      <c r="E75">
        <v>4.923</v>
      </c>
      <c r="F75">
        <v>-51.098999999999997</v>
      </c>
      <c r="G75">
        <v>3.5459999999999998</v>
      </c>
      <c r="H75">
        <v>-12.847</v>
      </c>
      <c r="I75">
        <v>0.71899999999999997</v>
      </c>
      <c r="J75">
        <v>3.4169999999999998</v>
      </c>
      <c r="K75">
        <v>1.2999999999999999E-2</v>
      </c>
      <c r="L75">
        <v>3.415</v>
      </c>
      <c r="M75">
        <v>4.0000000000000001E-3</v>
      </c>
      <c r="N75">
        <v>719.39</v>
      </c>
      <c r="O75">
        <v>0.6</v>
      </c>
      <c r="S75" s="3">
        <v>45939</v>
      </c>
    </row>
    <row r="76" spans="1:19" x14ac:dyDescent="0.25">
      <c r="A76">
        <v>10</v>
      </c>
      <c r="B76" t="s">
        <v>77</v>
      </c>
      <c r="D76">
        <v>-60.319000000000003</v>
      </c>
      <c r="E76">
        <v>5.2009999999999996</v>
      </c>
      <c r="F76">
        <v>-50.564999999999998</v>
      </c>
      <c r="G76">
        <v>3.7090000000000001</v>
      </c>
      <c r="H76">
        <v>-13.198</v>
      </c>
      <c r="I76">
        <v>0.875</v>
      </c>
      <c r="J76">
        <v>3.4119999999999999</v>
      </c>
      <c r="K76">
        <v>1.2999999999999999E-2</v>
      </c>
      <c r="L76">
        <v>3.42</v>
      </c>
      <c r="M76">
        <v>4.0000000000000001E-3</v>
      </c>
      <c r="N76">
        <v>615.69799999999998</v>
      </c>
      <c r="O76">
        <v>0.46100000000000002</v>
      </c>
      <c r="S76" s="3">
        <v>45939</v>
      </c>
    </row>
    <row r="77" spans="1:19" x14ac:dyDescent="0.25">
      <c r="A77">
        <v>11</v>
      </c>
      <c r="B77" t="s">
        <v>49</v>
      </c>
      <c r="D77">
        <v>-47.441000000000003</v>
      </c>
      <c r="E77">
        <v>6.4980000000000002</v>
      </c>
      <c r="F77">
        <v>-45.792000000000002</v>
      </c>
      <c r="G77">
        <v>3.7970000000000002</v>
      </c>
      <c r="H77">
        <v>-38.395000000000003</v>
      </c>
      <c r="I77">
        <v>0.93500000000000005</v>
      </c>
      <c r="J77">
        <v>2.8479999999999999</v>
      </c>
      <c r="K77">
        <v>1.6E-2</v>
      </c>
      <c r="L77">
        <v>2.867</v>
      </c>
      <c r="M77">
        <v>3.0000000000000001E-3</v>
      </c>
      <c r="N77">
        <v>472.54</v>
      </c>
      <c r="O77">
        <v>0.47599999999999998</v>
      </c>
      <c r="S77" s="3">
        <v>45939</v>
      </c>
    </row>
    <row r="78" spans="1:19" x14ac:dyDescent="0.25">
      <c r="A78">
        <v>12</v>
      </c>
      <c r="B78" t="s">
        <v>78</v>
      </c>
      <c r="D78">
        <v>-59.356999999999999</v>
      </c>
      <c r="E78">
        <v>4.0380000000000003</v>
      </c>
      <c r="F78">
        <v>-53.32</v>
      </c>
      <c r="G78">
        <v>2.7080000000000002</v>
      </c>
      <c r="H78">
        <v>-14.553000000000001</v>
      </c>
      <c r="I78">
        <v>0.60099999999999998</v>
      </c>
      <c r="J78">
        <v>4.78</v>
      </c>
      <c r="K78">
        <v>1.6E-2</v>
      </c>
      <c r="L78">
        <v>4.7960000000000003</v>
      </c>
      <c r="M78">
        <v>4.0000000000000001E-3</v>
      </c>
      <c r="N78">
        <v>1004.405</v>
      </c>
      <c r="O78">
        <v>0.747</v>
      </c>
      <c r="S78" s="3">
        <v>45939</v>
      </c>
    </row>
    <row r="79" spans="1:19" x14ac:dyDescent="0.25">
      <c r="A79">
        <v>13</v>
      </c>
      <c r="B79" t="s">
        <v>79</v>
      </c>
      <c r="D79">
        <v>-53.634</v>
      </c>
      <c r="E79">
        <v>5.1440000000000001</v>
      </c>
      <c r="F79">
        <v>-47.715000000000003</v>
      </c>
      <c r="G79">
        <v>2.7629999999999999</v>
      </c>
      <c r="H79">
        <v>-14.734999999999999</v>
      </c>
      <c r="I79">
        <v>0.70599999999999996</v>
      </c>
      <c r="J79">
        <v>3.2269999999999999</v>
      </c>
      <c r="K79">
        <v>1.4E-2</v>
      </c>
      <c r="L79">
        <v>3.2480000000000002</v>
      </c>
      <c r="M79">
        <v>5.0000000000000001E-3</v>
      </c>
      <c r="N79">
        <v>786.17</v>
      </c>
      <c r="O79">
        <v>0.71799999999999997</v>
      </c>
      <c r="S79" s="3">
        <v>45939</v>
      </c>
    </row>
    <row r="80" spans="1:19" x14ac:dyDescent="0.25">
      <c r="A80">
        <v>14</v>
      </c>
      <c r="B80" t="s">
        <v>80</v>
      </c>
      <c r="D80">
        <v>-55.463000000000001</v>
      </c>
      <c r="E80">
        <v>5.5330000000000004</v>
      </c>
      <c r="F80">
        <v>-47.613999999999997</v>
      </c>
      <c r="G80">
        <v>3.359</v>
      </c>
      <c r="H80">
        <v>-12.426</v>
      </c>
      <c r="I80">
        <v>0.89800000000000002</v>
      </c>
      <c r="J80">
        <v>3.1859999999999999</v>
      </c>
      <c r="K80">
        <v>1.7000000000000001E-2</v>
      </c>
      <c r="L80">
        <v>3.2069999999999999</v>
      </c>
      <c r="M80">
        <v>2E-3</v>
      </c>
      <c r="N80">
        <v>679.71</v>
      </c>
      <c r="O80">
        <v>0.44</v>
      </c>
      <c r="S80" s="3">
        <v>45939</v>
      </c>
    </row>
    <row r="81" spans="1:19" x14ac:dyDescent="0.25">
      <c r="A81">
        <v>15</v>
      </c>
      <c r="B81" t="s">
        <v>81</v>
      </c>
      <c r="D81">
        <v>-58.997999999999998</v>
      </c>
      <c r="E81">
        <v>4.673</v>
      </c>
      <c r="F81">
        <v>-49.777000000000001</v>
      </c>
      <c r="G81">
        <v>3.5390000000000001</v>
      </c>
      <c r="H81">
        <v>-12.18</v>
      </c>
      <c r="I81">
        <v>0.878</v>
      </c>
      <c r="J81">
        <v>3.452</v>
      </c>
      <c r="K81">
        <v>1.4E-2</v>
      </c>
      <c r="L81">
        <v>3.4649999999999999</v>
      </c>
      <c r="M81">
        <v>2E-3</v>
      </c>
      <c r="N81">
        <v>652.78499999999997</v>
      </c>
      <c r="O81">
        <v>0.47899999999999998</v>
      </c>
      <c r="S81" s="3">
        <v>45939</v>
      </c>
    </row>
    <row r="82" spans="1:19" x14ac:dyDescent="0.25">
      <c r="A82">
        <v>16</v>
      </c>
      <c r="B82" t="s">
        <v>82</v>
      </c>
      <c r="D82">
        <v>-57.978000000000002</v>
      </c>
      <c r="E82">
        <v>5.8140000000000001</v>
      </c>
      <c r="F82">
        <v>-49.764000000000003</v>
      </c>
      <c r="G82">
        <v>3.262</v>
      </c>
      <c r="H82">
        <v>-11.404</v>
      </c>
      <c r="I82">
        <v>0.71099999999999997</v>
      </c>
      <c r="J82">
        <v>3.3809999999999998</v>
      </c>
      <c r="K82">
        <v>1.6E-2</v>
      </c>
      <c r="L82">
        <v>3.3940000000000001</v>
      </c>
      <c r="M82">
        <v>2E-3</v>
      </c>
      <c r="N82">
        <v>785.34900000000005</v>
      </c>
      <c r="O82">
        <v>0.36199999999999999</v>
      </c>
      <c r="S82" s="3">
        <v>45939</v>
      </c>
    </row>
    <row r="83" spans="1:19" x14ac:dyDescent="0.25">
      <c r="A83">
        <v>17</v>
      </c>
      <c r="B83" t="s">
        <v>83</v>
      </c>
      <c r="D83">
        <v>-64.828999999999994</v>
      </c>
      <c r="E83">
        <v>4.2190000000000003</v>
      </c>
      <c r="F83">
        <v>-54.485999999999997</v>
      </c>
      <c r="G83">
        <v>2.9510000000000001</v>
      </c>
      <c r="H83">
        <v>-11.805</v>
      </c>
      <c r="I83">
        <v>0.81799999999999995</v>
      </c>
      <c r="J83">
        <v>4.181</v>
      </c>
      <c r="K83">
        <v>1.4999999999999999E-2</v>
      </c>
      <c r="L83">
        <v>4.1950000000000003</v>
      </c>
      <c r="M83">
        <v>4.0000000000000001E-3</v>
      </c>
      <c r="N83">
        <v>738.01800000000003</v>
      </c>
      <c r="O83">
        <v>0.44600000000000001</v>
      </c>
      <c r="S83" s="3">
        <v>45939</v>
      </c>
    </row>
    <row r="84" spans="1:19" x14ac:dyDescent="0.25">
      <c r="A84">
        <v>18</v>
      </c>
      <c r="B84" t="s">
        <v>84</v>
      </c>
      <c r="D84">
        <v>-56.335999999999999</v>
      </c>
      <c r="E84">
        <v>5.2919999999999998</v>
      </c>
      <c r="F84">
        <v>-49.606999999999999</v>
      </c>
      <c r="G84">
        <v>3.056</v>
      </c>
      <c r="H84">
        <v>-11.759</v>
      </c>
      <c r="I84">
        <v>0.69</v>
      </c>
      <c r="J84">
        <v>3.32</v>
      </c>
      <c r="K84">
        <v>1.2999999999999999E-2</v>
      </c>
      <c r="L84">
        <v>3.3439999999999999</v>
      </c>
      <c r="M84">
        <v>2E-3</v>
      </c>
      <c r="N84">
        <v>700.07100000000003</v>
      </c>
      <c r="O84">
        <v>0.379</v>
      </c>
      <c r="S84" s="3">
        <v>45939</v>
      </c>
    </row>
    <row r="85" spans="1:19" x14ac:dyDescent="0.25">
      <c r="A85">
        <v>19</v>
      </c>
      <c r="B85" t="s">
        <v>56</v>
      </c>
      <c r="D85">
        <v>-46.54</v>
      </c>
      <c r="E85">
        <v>6.8380000000000001</v>
      </c>
      <c r="F85">
        <v>-46.976999999999997</v>
      </c>
      <c r="G85">
        <v>3.9409999999999998</v>
      </c>
      <c r="H85">
        <v>-36.942999999999998</v>
      </c>
      <c r="I85">
        <v>1.0389999999999999</v>
      </c>
      <c r="J85">
        <v>2.8050000000000002</v>
      </c>
      <c r="K85">
        <v>1.4E-2</v>
      </c>
      <c r="L85">
        <v>2.823</v>
      </c>
      <c r="M85">
        <v>2E-3</v>
      </c>
      <c r="N85">
        <v>489.57900000000001</v>
      </c>
      <c r="O85">
        <v>0.27500000000000002</v>
      </c>
      <c r="S85" s="3">
        <v>45939</v>
      </c>
    </row>
    <row r="86" spans="1:19" x14ac:dyDescent="0.25">
      <c r="A86">
        <v>20</v>
      </c>
      <c r="B86" t="s">
        <v>85</v>
      </c>
      <c r="D86">
        <v>-44.475000000000001</v>
      </c>
      <c r="E86">
        <v>4.2789999999999999</v>
      </c>
      <c r="F86">
        <v>-43.865000000000002</v>
      </c>
      <c r="G86">
        <v>3.0390000000000001</v>
      </c>
      <c r="H86">
        <v>-13.086</v>
      </c>
      <c r="I86">
        <v>0.67500000000000004</v>
      </c>
      <c r="J86">
        <v>3.024</v>
      </c>
      <c r="K86">
        <v>1.2999999999999999E-2</v>
      </c>
      <c r="L86">
        <v>3.056</v>
      </c>
      <c r="M86">
        <v>4.0000000000000001E-3</v>
      </c>
      <c r="N86">
        <v>646.77300000000002</v>
      </c>
      <c r="O86">
        <v>0.50600000000000001</v>
      </c>
      <c r="S86" s="3">
        <v>45939</v>
      </c>
    </row>
    <row r="87" spans="1:19" x14ac:dyDescent="0.25">
      <c r="A87">
        <v>21</v>
      </c>
      <c r="B87" t="s">
        <v>86</v>
      </c>
      <c r="D87">
        <v>-42.225999999999999</v>
      </c>
      <c r="E87">
        <v>5.1660000000000004</v>
      </c>
      <c r="F87">
        <v>-44.005000000000003</v>
      </c>
      <c r="G87">
        <v>3.1379999999999999</v>
      </c>
      <c r="H87">
        <v>-11.430999999999999</v>
      </c>
      <c r="I87">
        <v>0.57299999999999995</v>
      </c>
      <c r="J87">
        <v>3.1080000000000001</v>
      </c>
      <c r="K87">
        <v>1.2999999999999999E-2</v>
      </c>
      <c r="L87">
        <v>3.1480000000000001</v>
      </c>
      <c r="M87">
        <v>3.0000000000000001E-3</v>
      </c>
      <c r="N87">
        <v>805.51599999999996</v>
      </c>
      <c r="O87">
        <v>0.49199999999999999</v>
      </c>
      <c r="S87" s="3">
        <v>45939</v>
      </c>
    </row>
    <row r="88" spans="1:19" x14ac:dyDescent="0.25">
      <c r="A88">
        <v>22</v>
      </c>
      <c r="B88" t="s">
        <v>87</v>
      </c>
      <c r="D88">
        <v>-44.164000000000001</v>
      </c>
      <c r="E88">
        <v>6.6109999999999998</v>
      </c>
      <c r="F88">
        <v>-44.502000000000002</v>
      </c>
      <c r="G88">
        <v>3.8719999999999999</v>
      </c>
      <c r="H88">
        <v>-11.984</v>
      </c>
      <c r="I88">
        <v>0.76700000000000002</v>
      </c>
      <c r="J88">
        <v>3.0659999999999998</v>
      </c>
      <c r="K88">
        <v>1.7999999999999999E-2</v>
      </c>
      <c r="L88">
        <v>3.101</v>
      </c>
      <c r="M88">
        <v>4.0000000000000001E-3</v>
      </c>
      <c r="N88">
        <v>831.01110000000006</v>
      </c>
      <c r="O88">
        <v>0.68400000000000005</v>
      </c>
      <c r="S88" s="3">
        <v>45939</v>
      </c>
    </row>
    <row r="89" spans="1:19" x14ac:dyDescent="0.25">
      <c r="A89">
        <v>23</v>
      </c>
      <c r="B89" t="s">
        <v>88</v>
      </c>
      <c r="D89">
        <v>-45.912999999999997</v>
      </c>
      <c r="E89">
        <v>6.0019999999999998</v>
      </c>
      <c r="F89">
        <v>-44.006</v>
      </c>
      <c r="G89">
        <v>3.6920000000000002</v>
      </c>
      <c r="H89">
        <v>-10.734999999999999</v>
      </c>
      <c r="I89">
        <v>0.72599999999999998</v>
      </c>
      <c r="J89">
        <v>3.0329999999999999</v>
      </c>
      <c r="K89">
        <v>1.6E-2</v>
      </c>
      <c r="L89">
        <v>3.0630000000000002</v>
      </c>
      <c r="M89">
        <v>3.0000000000000001E-3</v>
      </c>
      <c r="N89">
        <v>750.34799999999996</v>
      </c>
      <c r="O89">
        <v>0.54800000000000004</v>
      </c>
      <c r="S89" s="3">
        <v>45939</v>
      </c>
    </row>
    <row r="90" spans="1:19" x14ac:dyDescent="0.25">
      <c r="A90">
        <v>24</v>
      </c>
      <c r="B90" t="s">
        <v>89</v>
      </c>
      <c r="D90">
        <v>-46.134999999999998</v>
      </c>
      <c r="E90">
        <v>4.9450000000000003</v>
      </c>
      <c r="F90">
        <v>-44.658999999999999</v>
      </c>
      <c r="G90">
        <v>3.8260000000000001</v>
      </c>
      <c r="H90">
        <v>-11.122999999999999</v>
      </c>
      <c r="I90">
        <v>0.71099999999999997</v>
      </c>
      <c r="J90">
        <v>3.085</v>
      </c>
      <c r="K90">
        <v>1.6E-2</v>
      </c>
      <c r="L90">
        <v>3.12</v>
      </c>
      <c r="M90">
        <v>3.0000000000000001E-3</v>
      </c>
      <c r="N90">
        <v>778.32299999999998</v>
      </c>
      <c r="O90">
        <v>0.52200000000000002</v>
      </c>
      <c r="S90" s="3">
        <v>45939</v>
      </c>
    </row>
    <row r="91" spans="1:19" x14ac:dyDescent="0.25">
      <c r="A91">
        <v>25</v>
      </c>
      <c r="B91" t="s">
        <v>90</v>
      </c>
      <c r="D91">
        <v>-45.723999999999997</v>
      </c>
      <c r="E91">
        <v>5.4219999999999997</v>
      </c>
      <c r="F91">
        <v>-42.582000000000001</v>
      </c>
      <c r="G91">
        <v>3.726</v>
      </c>
      <c r="H91">
        <v>-11.38</v>
      </c>
      <c r="I91">
        <v>0.79200000000000004</v>
      </c>
      <c r="J91">
        <v>3.056</v>
      </c>
      <c r="K91">
        <v>1.4999999999999999E-2</v>
      </c>
      <c r="L91">
        <v>3.0870000000000002</v>
      </c>
      <c r="M91">
        <v>3.0000000000000001E-3</v>
      </c>
      <c r="N91">
        <v>734.38</v>
      </c>
      <c r="O91">
        <v>0.68600000000000005</v>
      </c>
      <c r="S91" s="3">
        <v>45939</v>
      </c>
    </row>
    <row r="92" spans="1:19" x14ac:dyDescent="0.25">
      <c r="A92">
        <v>26</v>
      </c>
      <c r="B92" t="s">
        <v>65</v>
      </c>
      <c r="C92">
        <v>6.1728395061728392E-2</v>
      </c>
      <c r="D92">
        <v>-53.408000000000001</v>
      </c>
      <c r="E92">
        <v>0.24199999999999999</v>
      </c>
      <c r="L92">
        <v>69.424000000000007</v>
      </c>
      <c r="M92">
        <v>0</v>
      </c>
      <c r="N92">
        <v>164.03399999999999</v>
      </c>
      <c r="O92">
        <v>0.246</v>
      </c>
      <c r="S92" s="3">
        <v>45939</v>
      </c>
    </row>
    <row r="93" spans="1:19" x14ac:dyDescent="0.25">
      <c r="A93">
        <v>1</v>
      </c>
      <c r="B93" t="s">
        <v>15</v>
      </c>
      <c r="S93" s="3">
        <v>45940</v>
      </c>
    </row>
    <row r="94" spans="1:19" x14ac:dyDescent="0.25">
      <c r="A94">
        <v>2</v>
      </c>
      <c r="B94" t="s">
        <v>48</v>
      </c>
      <c r="D94">
        <v>-40.274999999999999</v>
      </c>
      <c r="E94">
        <v>5.4059999999999997</v>
      </c>
      <c r="F94">
        <v>-44.648000000000003</v>
      </c>
      <c r="G94">
        <v>4.4420000000000002</v>
      </c>
      <c r="H94">
        <v>-39.695999999999998</v>
      </c>
      <c r="I94">
        <v>1.048</v>
      </c>
      <c r="J94">
        <v>2.8090000000000002</v>
      </c>
      <c r="K94">
        <v>1.2999999999999999E-2</v>
      </c>
      <c r="L94">
        <v>2.8260000000000001</v>
      </c>
      <c r="M94">
        <v>4.0000000000000001E-3</v>
      </c>
      <c r="N94">
        <v>469.43099999999998</v>
      </c>
      <c r="O94">
        <v>0.29899999999999999</v>
      </c>
      <c r="S94" s="3">
        <v>45940</v>
      </c>
    </row>
    <row r="95" spans="1:19" x14ac:dyDescent="0.25">
      <c r="A95">
        <v>3</v>
      </c>
      <c r="B95" t="s">
        <v>16</v>
      </c>
      <c r="D95">
        <v>-43.372</v>
      </c>
      <c r="E95">
        <v>0.46800000000000003</v>
      </c>
      <c r="H95">
        <v>-42.762999999999998</v>
      </c>
      <c r="I95">
        <v>0.47399999999999998</v>
      </c>
      <c r="J95">
        <v>36.158000000000001</v>
      </c>
      <c r="K95">
        <v>3.7999999999999999E-2</v>
      </c>
      <c r="L95">
        <v>34.284999999999997</v>
      </c>
      <c r="M95">
        <v>0</v>
      </c>
      <c r="N95">
        <v>1614.2719999999999</v>
      </c>
      <c r="O95">
        <v>1.024</v>
      </c>
      <c r="S95" s="3">
        <v>45940</v>
      </c>
    </row>
    <row r="96" spans="1:19" x14ac:dyDescent="0.25">
      <c r="A96">
        <v>4</v>
      </c>
      <c r="B96" t="s">
        <v>15</v>
      </c>
      <c r="D96">
        <v>-52.999000000000002</v>
      </c>
      <c r="E96">
        <v>120.244</v>
      </c>
      <c r="S96" s="3">
        <v>45940</v>
      </c>
    </row>
    <row r="97" spans="1:19" x14ac:dyDescent="0.25">
      <c r="A97">
        <v>5</v>
      </c>
      <c r="B97" t="s">
        <v>48</v>
      </c>
      <c r="D97">
        <v>-42.427999999999997</v>
      </c>
      <c r="E97">
        <v>6.3940000000000001</v>
      </c>
      <c r="F97">
        <v>-45.015999999999998</v>
      </c>
      <c r="G97">
        <v>4.4909999999999997</v>
      </c>
      <c r="H97">
        <v>-39.390999999999998</v>
      </c>
      <c r="I97">
        <v>1.1779999999999999</v>
      </c>
      <c r="J97">
        <v>2.8029999999999999</v>
      </c>
      <c r="K97">
        <v>1.2E-2</v>
      </c>
      <c r="L97">
        <v>2.8140000000000001</v>
      </c>
      <c r="M97">
        <v>4.0000000000000001E-3</v>
      </c>
      <c r="N97">
        <v>466.91300000000001</v>
      </c>
      <c r="O97">
        <v>0.41099999999999998</v>
      </c>
      <c r="S97" s="3">
        <v>45940</v>
      </c>
    </row>
    <row r="98" spans="1:19" x14ac:dyDescent="0.25">
      <c r="A98">
        <v>6</v>
      </c>
      <c r="B98" t="s">
        <v>91</v>
      </c>
      <c r="D98">
        <v>-49.59</v>
      </c>
      <c r="E98">
        <v>5.468</v>
      </c>
      <c r="F98">
        <v>-47.176000000000002</v>
      </c>
      <c r="G98">
        <v>4.4059999999999997</v>
      </c>
      <c r="H98">
        <v>-11.599</v>
      </c>
      <c r="I98">
        <v>0.53600000000000003</v>
      </c>
      <c r="J98">
        <v>3.097</v>
      </c>
      <c r="K98">
        <v>1.2E-2</v>
      </c>
      <c r="L98">
        <v>3.12</v>
      </c>
      <c r="M98">
        <v>4.0000000000000001E-3</v>
      </c>
      <c r="N98">
        <v>650.69000000000005</v>
      </c>
      <c r="O98">
        <v>0.48699999999999999</v>
      </c>
      <c r="S98" s="3">
        <v>45940</v>
      </c>
    </row>
    <row r="99" spans="1:19" x14ac:dyDescent="0.25">
      <c r="A99">
        <v>7</v>
      </c>
      <c r="B99" t="s">
        <v>92</v>
      </c>
      <c r="D99">
        <v>-47.347000000000001</v>
      </c>
      <c r="E99">
        <v>5.508</v>
      </c>
      <c r="F99">
        <v>-45.518000000000001</v>
      </c>
      <c r="G99">
        <v>3.7949999999999999</v>
      </c>
      <c r="H99">
        <v>-15.34</v>
      </c>
      <c r="I99">
        <v>0.873</v>
      </c>
      <c r="J99">
        <v>3.02</v>
      </c>
      <c r="K99">
        <v>1.4999999999999999E-2</v>
      </c>
      <c r="L99">
        <v>3.0470000000000002</v>
      </c>
      <c r="M99">
        <v>2E-3</v>
      </c>
      <c r="N99">
        <v>683.52200000000005</v>
      </c>
      <c r="O99">
        <v>0.29799999999999999</v>
      </c>
      <c r="S99" s="3">
        <v>45940</v>
      </c>
    </row>
    <row r="100" spans="1:19" x14ac:dyDescent="0.25">
      <c r="A100">
        <v>8</v>
      </c>
      <c r="B100" t="s">
        <v>93</v>
      </c>
      <c r="D100">
        <f>-47.476</f>
        <v>-47.475999999999999</v>
      </c>
      <c r="E100">
        <v>5.9610000000000003</v>
      </c>
      <c r="F100">
        <v>-45.295999999999999</v>
      </c>
      <c r="G100">
        <v>4.0510000000000002</v>
      </c>
      <c r="H100">
        <v>-11.087</v>
      </c>
      <c r="I100">
        <v>0.78900000000000003</v>
      </c>
      <c r="J100">
        <v>3.0489999999999999</v>
      </c>
      <c r="K100">
        <v>1.2999999999999999E-2</v>
      </c>
      <c r="L100">
        <v>3.0830000000000002</v>
      </c>
      <c r="M100">
        <v>2E-3</v>
      </c>
      <c r="N100">
        <v>663.23800000000006</v>
      </c>
      <c r="O100">
        <v>0.29499999999999998</v>
      </c>
      <c r="S100" s="3">
        <v>45940</v>
      </c>
    </row>
    <row r="101" spans="1:19" x14ac:dyDescent="0.25">
      <c r="A101">
        <v>9</v>
      </c>
      <c r="B101" t="s">
        <v>94</v>
      </c>
      <c r="D101">
        <v>-49.03</v>
      </c>
      <c r="E101">
        <v>6.39</v>
      </c>
      <c r="F101">
        <v>-45.192</v>
      </c>
      <c r="G101">
        <v>3.617</v>
      </c>
      <c r="H101">
        <v>-12.352</v>
      </c>
      <c r="I101">
        <v>0.73599999999999999</v>
      </c>
      <c r="J101">
        <v>3.1509999999999998</v>
      </c>
      <c r="K101">
        <v>1.4999999999999999E-2</v>
      </c>
      <c r="L101">
        <v>3.18</v>
      </c>
      <c r="M101">
        <v>2E-3</v>
      </c>
      <c r="N101">
        <v>626.56100000000004</v>
      </c>
      <c r="O101">
        <v>0.27600000000000002</v>
      </c>
      <c r="S101" s="3">
        <v>45940</v>
      </c>
    </row>
    <row r="102" spans="1:19" x14ac:dyDescent="0.25">
      <c r="A102">
        <v>10</v>
      </c>
      <c r="B102" t="s">
        <v>95</v>
      </c>
      <c r="D102">
        <v>-47.012999999999998</v>
      </c>
      <c r="E102">
        <v>4.5570000000000004</v>
      </c>
      <c r="F102">
        <v>-44.972999999999999</v>
      </c>
      <c r="G102">
        <v>3.4950000000000001</v>
      </c>
      <c r="H102">
        <v>-10.962</v>
      </c>
      <c r="I102">
        <v>0.74299999999999999</v>
      </c>
      <c r="J102">
        <v>3.202</v>
      </c>
      <c r="K102">
        <v>1.6E-2</v>
      </c>
      <c r="L102">
        <v>3.2330000000000001</v>
      </c>
      <c r="M102">
        <v>2E-3</v>
      </c>
      <c r="N102">
        <v>662.37699999999995</v>
      </c>
      <c r="O102">
        <v>0.38300000000000001</v>
      </c>
      <c r="S102" s="3">
        <v>45940</v>
      </c>
    </row>
    <row r="103" spans="1:19" x14ac:dyDescent="0.25">
      <c r="A103">
        <v>11</v>
      </c>
      <c r="B103" t="s">
        <v>100</v>
      </c>
      <c r="D103">
        <v>-39.198999999999998</v>
      </c>
      <c r="E103">
        <v>6.6070000000000002</v>
      </c>
      <c r="F103">
        <v>-46.170999999999999</v>
      </c>
      <c r="G103">
        <v>4.0330000000000004</v>
      </c>
      <c r="H103">
        <v>-14.712999999999999</v>
      </c>
      <c r="I103">
        <v>0.41799999999999998</v>
      </c>
      <c r="J103">
        <v>2.9260000000000002</v>
      </c>
      <c r="K103">
        <v>1.0999999999999999E-2</v>
      </c>
      <c r="L103">
        <v>2.9769999999999999</v>
      </c>
      <c r="M103">
        <v>3.0000000000000001E-3</v>
      </c>
      <c r="N103">
        <v>2850.3339999999998</v>
      </c>
      <c r="O103">
        <v>1.3819999999999999</v>
      </c>
      <c r="S103" s="3">
        <v>45940</v>
      </c>
    </row>
    <row r="104" spans="1:19" x14ac:dyDescent="0.25">
      <c r="A104">
        <v>12</v>
      </c>
      <c r="B104" t="s">
        <v>64</v>
      </c>
      <c r="D104">
        <v>-39.743000000000002</v>
      </c>
      <c r="E104">
        <v>5.5529999999999999</v>
      </c>
      <c r="F104">
        <v>-43.604999999999997</v>
      </c>
      <c r="G104">
        <v>4.4240000000000004</v>
      </c>
      <c r="H104">
        <v>-37.344999999999999</v>
      </c>
      <c r="I104">
        <v>0.95499999999999996</v>
      </c>
      <c r="J104">
        <v>2.9569999999999999</v>
      </c>
      <c r="K104">
        <v>1.4999999999999999E-2</v>
      </c>
      <c r="L104">
        <v>2.9940000000000002</v>
      </c>
      <c r="M104">
        <v>3.0000000000000001E-3</v>
      </c>
      <c r="N104">
        <v>484.09100000000001</v>
      </c>
      <c r="O104">
        <v>0.53700000000000003</v>
      </c>
      <c r="S104" s="3">
        <v>45940</v>
      </c>
    </row>
    <row r="105" spans="1:19" x14ac:dyDescent="0.25">
      <c r="A105">
        <v>13</v>
      </c>
      <c r="B105" s="5" t="s">
        <v>96</v>
      </c>
      <c r="C105" s="5"/>
      <c r="D105" s="5">
        <v>-64.061999999999998</v>
      </c>
      <c r="E105" s="5">
        <v>0.42199999999999999</v>
      </c>
      <c r="F105" s="5"/>
      <c r="G105" s="5"/>
      <c r="H105" s="5">
        <v>0.16300000000000001</v>
      </c>
      <c r="I105" s="5">
        <v>3.6070000000000002</v>
      </c>
      <c r="J105" s="5">
        <v>2150.0835999999999</v>
      </c>
      <c r="K105" s="5">
        <v>1.9119999999999999</v>
      </c>
      <c r="L105" s="5"/>
      <c r="M105" s="5"/>
      <c r="N105" s="5">
        <v>674.32600000000002</v>
      </c>
      <c r="O105" s="5">
        <v>0.66</v>
      </c>
      <c r="P105" s="5"/>
      <c r="Q105" s="5">
        <v>1</v>
      </c>
      <c r="R105" s="5" t="s">
        <v>97</v>
      </c>
      <c r="S105" s="3">
        <v>45940</v>
      </c>
    </row>
    <row r="106" spans="1:19" x14ac:dyDescent="0.25">
      <c r="A106">
        <v>14</v>
      </c>
      <c r="B106" t="s">
        <v>15</v>
      </c>
      <c r="S106" s="3">
        <v>45940</v>
      </c>
    </row>
    <row r="107" spans="1:19" x14ac:dyDescent="0.25">
      <c r="A107">
        <v>15</v>
      </c>
      <c r="B107" t="s">
        <v>15</v>
      </c>
      <c r="S107" s="3">
        <v>45940</v>
      </c>
    </row>
    <row r="108" spans="1:19" x14ac:dyDescent="0.25">
      <c r="A108">
        <v>16</v>
      </c>
      <c r="B108" t="s">
        <v>15</v>
      </c>
      <c r="S108" s="3">
        <v>45940</v>
      </c>
    </row>
    <row r="109" spans="1:19" x14ac:dyDescent="0.25">
      <c r="A109">
        <v>17</v>
      </c>
      <c r="B109" t="s">
        <v>15</v>
      </c>
      <c r="S109" s="3">
        <v>45940</v>
      </c>
    </row>
    <row r="110" spans="1:19" x14ac:dyDescent="0.25">
      <c r="A110">
        <v>18</v>
      </c>
      <c r="B110" t="s">
        <v>96</v>
      </c>
      <c r="C110">
        <v>6.1728395061728392E-2</v>
      </c>
      <c r="D110">
        <v>-64.936000000000007</v>
      </c>
      <c r="E110">
        <v>0.24099999999999999</v>
      </c>
      <c r="H110">
        <v>-5.9610000000000003</v>
      </c>
      <c r="I110">
        <v>3.3740000000000001</v>
      </c>
      <c r="J110">
        <v>125.247</v>
      </c>
      <c r="K110">
        <v>0.13600000000000001</v>
      </c>
      <c r="L110">
        <v>125.33799999999999</v>
      </c>
      <c r="M110">
        <v>0</v>
      </c>
      <c r="N110">
        <v>140.803</v>
      </c>
      <c r="O110">
        <v>0.21199999999999999</v>
      </c>
      <c r="S110" s="3">
        <v>45940</v>
      </c>
    </row>
    <row r="111" spans="1:19" x14ac:dyDescent="0.25">
      <c r="A111">
        <v>19</v>
      </c>
      <c r="B111" t="s">
        <v>15</v>
      </c>
      <c r="S111" s="3">
        <v>45940</v>
      </c>
    </row>
    <row r="112" spans="1:19" x14ac:dyDescent="0.25">
      <c r="A112">
        <v>20</v>
      </c>
      <c r="B112" t="s">
        <v>212</v>
      </c>
      <c r="D112">
        <v>-49.165999999999997</v>
      </c>
      <c r="E112">
        <v>7.5609999999999999</v>
      </c>
      <c r="F112">
        <v>-48.201999999999998</v>
      </c>
      <c r="G112">
        <v>4.4889999999999999</v>
      </c>
      <c r="H112">
        <v>-11.516</v>
      </c>
      <c r="I112">
        <v>0.67300000000000004</v>
      </c>
      <c r="J112">
        <v>2.9279999999999999</v>
      </c>
      <c r="K112">
        <v>1.6E-2</v>
      </c>
      <c r="L112">
        <v>2.94</v>
      </c>
      <c r="M112">
        <v>4.0000000000000001E-3</v>
      </c>
      <c r="N112">
        <v>833.26900000000001</v>
      </c>
      <c r="O112">
        <v>0.48599999999999999</v>
      </c>
      <c r="S112" s="3">
        <v>45940</v>
      </c>
    </row>
    <row r="113" spans="1:19" x14ac:dyDescent="0.25">
      <c r="A113">
        <v>21</v>
      </c>
      <c r="B113" t="s">
        <v>98</v>
      </c>
      <c r="D113">
        <v>-51.567999999999998</v>
      </c>
      <c r="E113">
        <v>5.1029999999999998</v>
      </c>
      <c r="F113">
        <v>-48.389000000000003</v>
      </c>
      <c r="G113">
        <v>3.41</v>
      </c>
      <c r="H113">
        <v>-11.571999999999999</v>
      </c>
      <c r="I113">
        <v>0.65100000000000002</v>
      </c>
      <c r="J113">
        <v>2.9940000000000002</v>
      </c>
      <c r="K113">
        <v>1.4E-2</v>
      </c>
      <c r="L113">
        <v>3.0179999999999998</v>
      </c>
      <c r="M113">
        <v>4.0000000000000001E-3</v>
      </c>
      <c r="N113">
        <v>813.51</v>
      </c>
      <c r="O113">
        <v>0.68200000000000005</v>
      </c>
      <c r="S113" s="3">
        <v>45940</v>
      </c>
    </row>
    <row r="114" spans="1:19" x14ac:dyDescent="0.25">
      <c r="A114">
        <v>22</v>
      </c>
      <c r="B114" t="s">
        <v>99</v>
      </c>
      <c r="D114">
        <v>-57.603000000000002</v>
      </c>
      <c r="E114">
        <v>8.02</v>
      </c>
      <c r="F114">
        <v>-52.771999999999998</v>
      </c>
      <c r="G114">
        <v>5.5110000000000001</v>
      </c>
      <c r="H114">
        <v>-12.425000000000001</v>
      </c>
      <c r="I114">
        <v>0.51200000000000001</v>
      </c>
      <c r="J114">
        <v>2.5790000000000002</v>
      </c>
      <c r="K114">
        <v>1.7999999999999999E-2</v>
      </c>
      <c r="L114">
        <v>2.5830000000000002</v>
      </c>
      <c r="M114">
        <v>2E-3</v>
      </c>
      <c r="N114">
        <v>813.4</v>
      </c>
      <c r="O114">
        <v>0.43</v>
      </c>
      <c r="S114" s="3">
        <v>45940</v>
      </c>
    </row>
    <row r="115" spans="1:19" x14ac:dyDescent="0.25">
      <c r="A115">
        <v>1</v>
      </c>
      <c r="B115" t="s">
        <v>15</v>
      </c>
      <c r="S115" s="3">
        <v>45943</v>
      </c>
    </row>
    <row r="116" spans="1:19" x14ac:dyDescent="0.25">
      <c r="A116">
        <v>2</v>
      </c>
      <c r="B116" t="s">
        <v>16</v>
      </c>
      <c r="D116">
        <v>-42.378999999999998</v>
      </c>
      <c r="E116">
        <v>0.40200000000000002</v>
      </c>
      <c r="H116">
        <v>-42.423000000000002</v>
      </c>
      <c r="I116">
        <v>0.44900000000000001</v>
      </c>
      <c r="J116">
        <v>35.896000000000001</v>
      </c>
      <c r="K116">
        <v>3.7999999999999999E-2</v>
      </c>
      <c r="L116">
        <v>35.198</v>
      </c>
      <c r="M116">
        <v>0</v>
      </c>
      <c r="N116">
        <v>1433.761</v>
      </c>
      <c r="O116">
        <v>0.753</v>
      </c>
      <c r="S116" s="3">
        <v>45943</v>
      </c>
    </row>
    <row r="117" spans="1:19" x14ac:dyDescent="0.25">
      <c r="A117">
        <v>3</v>
      </c>
      <c r="B117" t="s">
        <v>15</v>
      </c>
      <c r="S117" s="3">
        <v>45943</v>
      </c>
    </row>
    <row r="118" spans="1:19" x14ac:dyDescent="0.25">
      <c r="A118">
        <v>4</v>
      </c>
      <c r="B118" t="s">
        <v>48</v>
      </c>
      <c r="D118">
        <v>-43.118099999999998</v>
      </c>
      <c r="E118">
        <v>6.5330000000000004</v>
      </c>
      <c r="F118">
        <v>-45.326999999999998</v>
      </c>
      <c r="G118">
        <v>4.0679999999999996</v>
      </c>
      <c r="H118">
        <v>-42.091099999999997</v>
      </c>
      <c r="I118">
        <v>1.2869999999999999</v>
      </c>
      <c r="J118">
        <v>2.8010000000000002</v>
      </c>
      <c r="K118">
        <v>1.4E-2</v>
      </c>
      <c r="L118">
        <v>2.8140000000000001</v>
      </c>
      <c r="M118">
        <v>4.0000000000000001E-3</v>
      </c>
      <c r="N118">
        <v>460.34800000000001</v>
      </c>
      <c r="O118">
        <v>0.36599999999999999</v>
      </c>
      <c r="S118" s="3">
        <v>45943</v>
      </c>
    </row>
    <row r="119" spans="1:19" x14ac:dyDescent="0.25">
      <c r="A119">
        <v>5</v>
      </c>
      <c r="B119" t="s">
        <v>101</v>
      </c>
      <c r="D119">
        <v>-51.32</v>
      </c>
      <c r="E119">
        <v>5.7430000000000003</v>
      </c>
      <c r="F119">
        <v>-48.447000000000003</v>
      </c>
      <c r="G119">
        <v>3.5760000000000001</v>
      </c>
      <c r="H119">
        <v>-12.084</v>
      </c>
      <c r="I119">
        <v>0.51900000000000002</v>
      </c>
      <c r="J119">
        <v>3.08</v>
      </c>
      <c r="K119">
        <v>1.4999999999999999E-2</v>
      </c>
      <c r="L119">
        <v>3.109</v>
      </c>
      <c r="M119">
        <v>4.0000000000000001E-3</v>
      </c>
      <c r="N119">
        <v>767.88099999999997</v>
      </c>
      <c r="O119">
        <v>0.52700000000000002</v>
      </c>
      <c r="S119" s="3">
        <v>45943</v>
      </c>
    </row>
    <row r="120" spans="1:19" x14ac:dyDescent="0.25">
      <c r="A120">
        <v>6</v>
      </c>
      <c r="B120" t="s">
        <v>102</v>
      </c>
      <c r="D120">
        <v>-48.872999999999998</v>
      </c>
      <c r="E120">
        <v>5.9160000000000004</v>
      </c>
      <c r="F120">
        <v>-46.015000000000001</v>
      </c>
      <c r="G120">
        <v>4.383</v>
      </c>
      <c r="H120">
        <v>-11.757</v>
      </c>
      <c r="I120">
        <v>0.57599999999999996</v>
      </c>
      <c r="J120">
        <v>3.137</v>
      </c>
      <c r="K120">
        <v>1.4E-2</v>
      </c>
      <c r="L120">
        <v>3.1720000000000002</v>
      </c>
      <c r="M120">
        <v>3.0000000000000001E-3</v>
      </c>
      <c r="N120">
        <v>823.51599999999996</v>
      </c>
      <c r="O120">
        <v>0.378</v>
      </c>
      <c r="S120" s="3">
        <v>45943</v>
      </c>
    </row>
    <row r="121" spans="1:19" x14ac:dyDescent="0.25">
      <c r="A121">
        <v>7</v>
      </c>
      <c r="B121" t="s">
        <v>103</v>
      </c>
      <c r="D121">
        <v>-48.332000000000001</v>
      </c>
      <c r="E121">
        <v>5.5</v>
      </c>
      <c r="F121">
        <v>-47.066000000000003</v>
      </c>
      <c r="G121">
        <v>3.1960000000000002</v>
      </c>
      <c r="H121">
        <v>-11.9</v>
      </c>
      <c r="I121">
        <v>0.54200000000000004</v>
      </c>
      <c r="J121">
        <v>3.3010000000000002</v>
      </c>
      <c r="K121">
        <v>1.2999999999999999E-2</v>
      </c>
      <c r="L121">
        <v>3.339</v>
      </c>
      <c r="M121">
        <v>4.0000000000000001E-3</v>
      </c>
      <c r="N121">
        <v>762.84400000000005</v>
      </c>
      <c r="O121">
        <v>0.495</v>
      </c>
      <c r="S121" s="3">
        <v>45943</v>
      </c>
    </row>
    <row r="122" spans="1:19" x14ac:dyDescent="0.25">
      <c r="A122">
        <v>8</v>
      </c>
      <c r="B122" t="s">
        <v>104</v>
      </c>
      <c r="D122">
        <v>-48.944000000000003</v>
      </c>
      <c r="E122">
        <v>5.1760000000000002</v>
      </c>
      <c r="F122">
        <v>-47.738999999999997</v>
      </c>
      <c r="G122">
        <v>3.4729999999999999</v>
      </c>
      <c r="H122">
        <v>-14.047000000000001</v>
      </c>
      <c r="I122">
        <v>0.67900000000000005</v>
      </c>
      <c r="J122">
        <v>3.0960000000000001</v>
      </c>
      <c r="K122">
        <v>1.4999999999999999E-2</v>
      </c>
      <c r="L122">
        <v>3.1379999999999999</v>
      </c>
      <c r="M122">
        <v>4.0000000000000001E-3</v>
      </c>
      <c r="N122">
        <v>794.60900000000004</v>
      </c>
      <c r="O122">
        <v>0.61699999999999999</v>
      </c>
      <c r="S122" s="3">
        <v>45943</v>
      </c>
    </row>
    <row r="123" spans="1:19" x14ac:dyDescent="0.25">
      <c r="A123">
        <v>9</v>
      </c>
      <c r="B123" t="s">
        <v>105</v>
      </c>
      <c r="D123">
        <v>-49.994999999999997</v>
      </c>
      <c r="E123">
        <v>5.0739999999999998</v>
      </c>
      <c r="F123">
        <v>-47.116</v>
      </c>
      <c r="G123">
        <v>3.1160000000000001</v>
      </c>
      <c r="H123">
        <v>-12.581</v>
      </c>
      <c r="I123">
        <v>0.85799999999999998</v>
      </c>
      <c r="J123">
        <v>3.0920000000000001</v>
      </c>
      <c r="K123">
        <v>1.2999999999999999E-2</v>
      </c>
      <c r="L123">
        <v>3.129</v>
      </c>
      <c r="M123">
        <v>3.0000000000000001E-3</v>
      </c>
      <c r="N123">
        <v>662.31</v>
      </c>
      <c r="O123">
        <v>0.47899999999999998</v>
      </c>
      <c r="S123" s="3">
        <v>45943</v>
      </c>
    </row>
    <row r="124" spans="1:19" x14ac:dyDescent="0.25">
      <c r="A124">
        <v>10</v>
      </c>
      <c r="B124" t="s">
        <v>106</v>
      </c>
      <c r="D124">
        <v>-49.832000000000001</v>
      </c>
      <c r="E124">
        <v>4.0830000000000002</v>
      </c>
      <c r="F124">
        <v>-46.116999999999997</v>
      </c>
      <c r="G124">
        <v>3.31</v>
      </c>
      <c r="H124">
        <v>-13.558</v>
      </c>
      <c r="I124">
        <v>0.66500000000000004</v>
      </c>
      <c r="J124">
        <v>3.1850000000000001</v>
      </c>
      <c r="K124">
        <v>1.4E-2</v>
      </c>
      <c r="L124">
        <v>3.2149999999999999</v>
      </c>
      <c r="M124">
        <v>4.0000000000000001E-3</v>
      </c>
      <c r="N124">
        <v>644.06799999999998</v>
      </c>
      <c r="O124">
        <v>0.44900000000000001</v>
      </c>
      <c r="S124" s="3">
        <v>45943</v>
      </c>
    </row>
    <row r="125" spans="1:19" x14ac:dyDescent="0.25">
      <c r="A125">
        <v>11</v>
      </c>
      <c r="B125" t="s">
        <v>15</v>
      </c>
      <c r="S125" s="3">
        <v>45943</v>
      </c>
    </row>
    <row r="126" spans="1:19" x14ac:dyDescent="0.25">
      <c r="A126">
        <v>12</v>
      </c>
      <c r="B126" t="s">
        <v>107</v>
      </c>
      <c r="D126">
        <v>-60.29</v>
      </c>
      <c r="E126">
        <v>5.7160000000000002</v>
      </c>
      <c r="F126">
        <v>-50.03</v>
      </c>
      <c r="G126">
        <v>3.7829999999999999</v>
      </c>
      <c r="H126">
        <v>-32.689</v>
      </c>
      <c r="I126">
        <v>1.012</v>
      </c>
      <c r="J126">
        <v>2.956</v>
      </c>
      <c r="K126">
        <v>1.4E-2</v>
      </c>
      <c r="L126">
        <v>2.9569999999999999</v>
      </c>
      <c r="M126">
        <v>4.0000000000000001E-3</v>
      </c>
      <c r="N126">
        <v>396.09899999999999</v>
      </c>
      <c r="O126">
        <v>0.35199999999999998</v>
      </c>
      <c r="S126" s="3">
        <v>45943</v>
      </c>
    </row>
    <row r="127" spans="1:19" x14ac:dyDescent="0.25">
      <c r="A127">
        <v>13</v>
      </c>
      <c r="B127" t="s">
        <v>107</v>
      </c>
      <c r="D127">
        <v>-61.847999999999999</v>
      </c>
      <c r="E127">
        <v>5.6390000000000002</v>
      </c>
      <c r="F127">
        <v>-50.780999999999999</v>
      </c>
      <c r="G127">
        <v>4.7560000000000002</v>
      </c>
      <c r="H127">
        <v>-32.850999999999999</v>
      </c>
      <c r="I127">
        <v>1.27</v>
      </c>
      <c r="J127">
        <v>2.9889999999999999</v>
      </c>
      <c r="K127">
        <v>1.4E-2</v>
      </c>
      <c r="L127">
        <v>2.996</v>
      </c>
      <c r="M127">
        <v>3.0000000000000001E-3</v>
      </c>
      <c r="N127">
        <v>370.10899999999998</v>
      </c>
      <c r="O127">
        <v>0.31119999999999998</v>
      </c>
      <c r="S127" s="3">
        <v>45943</v>
      </c>
    </row>
    <row r="128" spans="1:19" x14ac:dyDescent="0.25">
      <c r="A128">
        <v>14</v>
      </c>
      <c r="B128" t="s">
        <v>107</v>
      </c>
      <c r="D128">
        <v>-63.67</v>
      </c>
      <c r="E128">
        <v>8.2080000000000002</v>
      </c>
      <c r="F128">
        <v>-50.53</v>
      </c>
      <c r="G128">
        <v>5.4779999999999998</v>
      </c>
      <c r="H128">
        <v>-34.731999999999999</v>
      </c>
      <c r="I128">
        <v>1.367</v>
      </c>
      <c r="J128">
        <v>2.9449999999999998</v>
      </c>
      <c r="K128">
        <v>1.1599999999999999E-2</v>
      </c>
      <c r="L128">
        <v>2.9460000000000002</v>
      </c>
      <c r="M128">
        <v>4.0000000000000001E-3</v>
      </c>
      <c r="N128">
        <v>344.76299999999998</v>
      </c>
      <c r="O128">
        <v>0.34599999999999997</v>
      </c>
      <c r="S128" s="3">
        <v>45943</v>
      </c>
    </row>
    <row r="129" spans="1:19" x14ac:dyDescent="0.25">
      <c r="A129">
        <v>15</v>
      </c>
      <c r="B129" t="s">
        <v>107</v>
      </c>
      <c r="D129">
        <v>-61.29</v>
      </c>
      <c r="E129">
        <v>5.7320000000000002</v>
      </c>
      <c r="F129">
        <v>-51.531999999999996</v>
      </c>
      <c r="G129">
        <v>3.605</v>
      </c>
      <c r="H129">
        <v>-34.154000000000003</v>
      </c>
      <c r="I129">
        <v>0.28100000000000003</v>
      </c>
      <c r="J129">
        <v>2.9670000000000001</v>
      </c>
      <c r="K129">
        <v>1.4E-2</v>
      </c>
      <c r="L129">
        <v>2.9750000000000001</v>
      </c>
      <c r="M129">
        <v>4.0000000000000001E-3</v>
      </c>
      <c r="N129">
        <v>374.226</v>
      </c>
      <c r="O129">
        <v>0.34100000000000003</v>
      </c>
      <c r="S129" s="3">
        <v>45943</v>
      </c>
    </row>
    <row r="130" spans="1:19" x14ac:dyDescent="0.25">
      <c r="A130">
        <v>16</v>
      </c>
      <c r="B130" t="s">
        <v>108</v>
      </c>
      <c r="D130">
        <v>-53.259</v>
      </c>
      <c r="E130">
        <v>10.885</v>
      </c>
      <c r="F130">
        <v>-51.496000000000002</v>
      </c>
      <c r="G130">
        <v>6.7619999999999996</v>
      </c>
      <c r="H130">
        <v>-6.5679999999999996</v>
      </c>
      <c r="I130">
        <v>0.95799999999999996</v>
      </c>
      <c r="J130">
        <v>1.891</v>
      </c>
      <c r="K130">
        <v>1.2E-2</v>
      </c>
      <c r="L130">
        <v>1.913</v>
      </c>
      <c r="M130">
        <v>2E-3</v>
      </c>
      <c r="N130">
        <v>417.15199999999999</v>
      </c>
      <c r="O130">
        <v>0.35699999999999998</v>
      </c>
      <c r="S130" s="3">
        <v>45943</v>
      </c>
    </row>
    <row r="131" spans="1:19" x14ac:dyDescent="0.25">
      <c r="A131">
        <v>17</v>
      </c>
      <c r="B131" t="s">
        <v>64</v>
      </c>
      <c r="D131">
        <v>-47.926000000000002</v>
      </c>
      <c r="E131">
        <v>5.9850000000000003</v>
      </c>
      <c r="F131">
        <v>-46.552</v>
      </c>
      <c r="G131">
        <v>3.5569999999999999</v>
      </c>
      <c r="H131">
        <v>-37.281999999999996</v>
      </c>
      <c r="I131">
        <v>0.995</v>
      </c>
      <c r="J131">
        <v>3.2970000000000002</v>
      </c>
      <c r="K131">
        <v>1.4999999999999999E-2</v>
      </c>
      <c r="L131">
        <v>3.331</v>
      </c>
      <c r="M131">
        <v>4.0000000000000001E-3</v>
      </c>
      <c r="N131">
        <v>464.73200000000003</v>
      </c>
      <c r="O131">
        <v>0.42599999999999999</v>
      </c>
      <c r="S131" s="3">
        <v>45943</v>
      </c>
    </row>
    <row r="132" spans="1:19" x14ac:dyDescent="0.25">
      <c r="A132">
        <v>18</v>
      </c>
      <c r="B132" t="s">
        <v>107</v>
      </c>
      <c r="D132">
        <v>-60.681100000000001</v>
      </c>
      <c r="E132">
        <v>6.2140000000000004</v>
      </c>
      <c r="F132">
        <v>-50.203000000000003</v>
      </c>
      <c r="G132">
        <v>3.8410000000000002</v>
      </c>
      <c r="H132">
        <v>-34.091999999999999</v>
      </c>
      <c r="I132">
        <v>1.359</v>
      </c>
      <c r="J132">
        <v>2.98</v>
      </c>
      <c r="K132">
        <v>1.6E-2</v>
      </c>
      <c r="L132">
        <v>2.9860000000000002</v>
      </c>
      <c r="M132">
        <v>4.0000000000000001E-3</v>
      </c>
      <c r="N132">
        <v>377.04300000000001</v>
      </c>
      <c r="O132">
        <v>0.36399999999999999</v>
      </c>
      <c r="S132" s="3">
        <v>45943</v>
      </c>
    </row>
    <row r="133" spans="1:19" x14ac:dyDescent="0.25">
      <c r="A133">
        <v>19</v>
      </c>
      <c r="B133" t="s">
        <v>107</v>
      </c>
      <c r="D133">
        <v>-61.677999999999997</v>
      </c>
      <c r="E133">
        <v>6.5170000000000003</v>
      </c>
      <c r="F133">
        <f>-49/170</f>
        <v>-0.28823529411764703</v>
      </c>
      <c r="G133">
        <v>3.6230000000000002</v>
      </c>
      <c r="H133">
        <v>-34.292000000000002</v>
      </c>
      <c r="I133">
        <v>1.1240000000000001</v>
      </c>
      <c r="J133">
        <v>2.9409999999999998</v>
      </c>
      <c r="K133">
        <v>1.4999999999999999E-2</v>
      </c>
      <c r="L133">
        <v>2.9460000000000002</v>
      </c>
      <c r="M133">
        <v>4.0000000000000001E-3</v>
      </c>
      <c r="N133">
        <v>370.42899999999997</v>
      </c>
      <c r="O133">
        <v>0.379</v>
      </c>
      <c r="S133" s="3">
        <v>45943</v>
      </c>
    </row>
    <row r="134" spans="1:19" x14ac:dyDescent="0.25">
      <c r="A134">
        <v>20</v>
      </c>
      <c r="B134" t="s">
        <v>107</v>
      </c>
      <c r="D134">
        <v>-58.048999999999999</v>
      </c>
      <c r="E134">
        <v>6.43</v>
      </c>
      <c r="F134">
        <v>-48.741100000000003</v>
      </c>
      <c r="G134">
        <v>3.4319999999999999</v>
      </c>
      <c r="H134">
        <v>-29.992000000000001</v>
      </c>
      <c r="I134">
        <v>1.181</v>
      </c>
      <c r="J134">
        <v>2.927</v>
      </c>
      <c r="K134">
        <v>1.7000000000000001E-2</v>
      </c>
      <c r="L134">
        <v>2.9350000000000001</v>
      </c>
      <c r="M134">
        <v>3.0000000000000001E-3</v>
      </c>
      <c r="N134">
        <v>399.91300000000001</v>
      </c>
      <c r="O134">
        <v>0.33100000000000002</v>
      </c>
      <c r="S134" s="3">
        <v>45943</v>
      </c>
    </row>
    <row r="135" spans="1:19" x14ac:dyDescent="0.25">
      <c r="A135">
        <v>21</v>
      </c>
      <c r="B135" s="7" t="s">
        <v>109</v>
      </c>
      <c r="C135" s="7"/>
      <c r="D135" s="7">
        <v>-60.88</v>
      </c>
      <c r="E135" s="7">
        <v>6.3360000000000003</v>
      </c>
      <c r="F135" s="7">
        <v>-50.886000000000003</v>
      </c>
      <c r="G135" s="7">
        <v>3.351</v>
      </c>
      <c r="H135" s="7">
        <v>-25.536999999999999</v>
      </c>
      <c r="I135" s="7">
        <v>1.2050000000000001</v>
      </c>
      <c r="J135" s="7">
        <v>2.7690000000000001</v>
      </c>
      <c r="K135" s="7">
        <v>1.6E-2</v>
      </c>
      <c r="L135" s="7">
        <v>2.7709999999999999</v>
      </c>
      <c r="M135" s="7">
        <v>3.0000000000000001E-3</v>
      </c>
      <c r="N135" s="7">
        <v>371.13900000000001</v>
      </c>
      <c r="O135" s="7">
        <v>0.26400000000000001</v>
      </c>
      <c r="P135" s="7"/>
      <c r="Q135" s="7"/>
      <c r="R135" s="7" t="s">
        <v>110</v>
      </c>
      <c r="S135" s="3">
        <v>45943</v>
      </c>
    </row>
    <row r="136" spans="1:19" x14ac:dyDescent="0.25">
      <c r="A136">
        <v>1</v>
      </c>
      <c r="B136" t="s">
        <v>15</v>
      </c>
      <c r="S136" s="3">
        <v>45944</v>
      </c>
    </row>
    <row r="137" spans="1:19" x14ac:dyDescent="0.25">
      <c r="A137">
        <v>2</v>
      </c>
      <c r="B137" t="s">
        <v>111</v>
      </c>
      <c r="C137">
        <f>35/45</f>
        <v>0.77777777777777779</v>
      </c>
      <c r="D137">
        <v>-22.390999999999998</v>
      </c>
      <c r="E137">
        <v>0.42499999999999999</v>
      </c>
      <c r="K137">
        <v>263.923</v>
      </c>
      <c r="L137">
        <v>0.30099999999999999</v>
      </c>
      <c r="Q137">
        <v>0.76300000000000001</v>
      </c>
      <c r="R137" t="s">
        <v>112</v>
      </c>
      <c r="S137" s="3">
        <v>45944</v>
      </c>
    </row>
    <row r="138" spans="1:19" x14ac:dyDescent="0.25">
      <c r="A138">
        <v>3</v>
      </c>
      <c r="B138" t="s">
        <v>15</v>
      </c>
      <c r="D138">
        <v>-20.157</v>
      </c>
      <c r="E138">
        <v>4.2779999999999996</v>
      </c>
      <c r="F138">
        <v>-19.802</v>
      </c>
      <c r="G138">
        <v>3.222</v>
      </c>
      <c r="J138">
        <v>3.4319999999999999</v>
      </c>
      <c r="K138">
        <v>1.2E-2</v>
      </c>
      <c r="L138">
        <v>3.4449999999999998</v>
      </c>
      <c r="M138">
        <v>5.0000000000000001E-3</v>
      </c>
      <c r="S138" s="3">
        <v>45944</v>
      </c>
    </row>
    <row r="139" spans="1:19" x14ac:dyDescent="0.25">
      <c r="A139">
        <v>4</v>
      </c>
      <c r="B139" t="s">
        <v>15</v>
      </c>
      <c r="S139" s="3">
        <v>45944</v>
      </c>
    </row>
    <row r="140" spans="1:19" x14ac:dyDescent="0.25">
      <c r="A140" s="5">
        <v>5</v>
      </c>
      <c r="B140" s="5" t="s">
        <v>56</v>
      </c>
      <c r="C140" s="5"/>
      <c r="D140" s="5">
        <v>-59.92</v>
      </c>
      <c r="E140" s="5">
        <v>0.33700000000000002</v>
      </c>
      <c r="F140" s="5"/>
      <c r="G140" s="5"/>
      <c r="H140" s="5">
        <v>-33.154000000000003</v>
      </c>
      <c r="I140" s="5">
        <v>0.80800000000000005</v>
      </c>
      <c r="J140" s="5">
        <v>1058.934</v>
      </c>
      <c r="K140" s="5">
        <v>1.284</v>
      </c>
      <c r="L140" s="5"/>
      <c r="M140" s="5"/>
      <c r="N140" s="5">
        <v>466.202</v>
      </c>
      <c r="O140" s="5">
        <v>0.441</v>
      </c>
      <c r="P140" s="5">
        <v>0.441</v>
      </c>
      <c r="Q140" s="5">
        <v>1</v>
      </c>
      <c r="R140" s="5" t="s">
        <v>113</v>
      </c>
      <c r="S140" s="3">
        <v>45944</v>
      </c>
    </row>
    <row r="141" spans="1:19" x14ac:dyDescent="0.25">
      <c r="A141">
        <v>6</v>
      </c>
      <c r="B141" t="s">
        <v>15</v>
      </c>
      <c r="S141" s="3">
        <v>45944</v>
      </c>
    </row>
    <row r="142" spans="1:19" x14ac:dyDescent="0.25">
      <c r="A142">
        <v>7</v>
      </c>
      <c r="B142" t="s">
        <v>15</v>
      </c>
      <c r="S142" s="3">
        <v>45944</v>
      </c>
    </row>
    <row r="143" spans="1:19" x14ac:dyDescent="0.25">
      <c r="A143">
        <v>8</v>
      </c>
      <c r="B143" t="s">
        <v>48</v>
      </c>
      <c r="D143">
        <v>-42.154000000000003</v>
      </c>
      <c r="E143">
        <v>6.5759999999999996</v>
      </c>
      <c r="F143">
        <v>-44.841000000000001</v>
      </c>
      <c r="G143">
        <v>4.1760000000000002</v>
      </c>
      <c r="H143">
        <v>-42.087000000000003</v>
      </c>
      <c r="I143">
        <v>1.113</v>
      </c>
      <c r="J143">
        <v>2.8769999999999998</v>
      </c>
      <c r="K143">
        <v>1.4999999999999999E-2</v>
      </c>
      <c r="L143">
        <v>2.89</v>
      </c>
      <c r="M143">
        <v>4.0000000000000001E-3</v>
      </c>
      <c r="N143">
        <v>467.69400000000002</v>
      </c>
      <c r="O143">
        <v>0.377</v>
      </c>
      <c r="S143" s="3">
        <v>45944</v>
      </c>
    </row>
    <row r="144" spans="1:19" x14ac:dyDescent="0.25">
      <c r="A144">
        <v>9</v>
      </c>
      <c r="B144" t="s">
        <v>114</v>
      </c>
      <c r="D144">
        <v>-41.546999999999997</v>
      </c>
      <c r="E144">
        <v>4.5579999999999998</v>
      </c>
      <c r="F144">
        <v>-44.665999999999997</v>
      </c>
      <c r="G144">
        <v>3.3860000000000001</v>
      </c>
      <c r="H144">
        <v>-41.686</v>
      </c>
      <c r="I144">
        <v>0.86799999999999999</v>
      </c>
      <c r="J144">
        <v>2.8660000000000001</v>
      </c>
      <c r="K144">
        <v>1.2E-2</v>
      </c>
      <c r="L144">
        <v>2.88</v>
      </c>
      <c r="M144">
        <v>4.0000000000000001E-3</v>
      </c>
      <c r="N144">
        <v>470.06900000000002</v>
      </c>
      <c r="O144">
        <v>0.35599999999999998</v>
      </c>
      <c r="S144" s="3">
        <v>45944</v>
      </c>
    </row>
    <row r="145" spans="1:19" x14ac:dyDescent="0.25">
      <c r="A145">
        <v>10</v>
      </c>
      <c r="B145" t="s">
        <v>114</v>
      </c>
      <c r="D145">
        <v>-44.222999999999999</v>
      </c>
      <c r="E145">
        <v>5.8929999999999998</v>
      </c>
      <c r="F145">
        <v>-45.576000000000001</v>
      </c>
      <c r="G145">
        <v>4.093</v>
      </c>
      <c r="H145">
        <v>-42.164000000000001</v>
      </c>
      <c r="I145">
        <v>1.103</v>
      </c>
      <c r="J145">
        <v>2.86</v>
      </c>
      <c r="K145">
        <v>1.2E-2</v>
      </c>
      <c r="L145">
        <v>2.87</v>
      </c>
      <c r="M145">
        <v>5.0000000000000001E-3</v>
      </c>
      <c r="N145">
        <v>467.721</v>
      </c>
      <c r="O145">
        <v>0.378</v>
      </c>
      <c r="S145" s="3">
        <v>45944</v>
      </c>
    </row>
    <row r="146" spans="1:19" x14ac:dyDescent="0.25">
      <c r="A146">
        <v>11</v>
      </c>
      <c r="B146" t="s">
        <v>115</v>
      </c>
      <c r="D146">
        <v>-50.469000000000001</v>
      </c>
      <c r="E146">
        <v>7.2450000000000001</v>
      </c>
      <c r="F146">
        <v>-37.506</v>
      </c>
      <c r="G146">
        <v>5.3090000000000002</v>
      </c>
      <c r="H146">
        <v>-11.912000000000001</v>
      </c>
      <c r="I146">
        <v>0.752</v>
      </c>
      <c r="J146">
        <v>4.718</v>
      </c>
      <c r="K146">
        <v>2.5000000000000001E-2</v>
      </c>
      <c r="L146">
        <v>4.7380000000000004</v>
      </c>
      <c r="M146">
        <v>2.3E-2</v>
      </c>
      <c r="N146">
        <v>813.88900000000001</v>
      </c>
      <c r="O146">
        <v>0.58499999999999996</v>
      </c>
      <c r="S146" s="3">
        <v>45944</v>
      </c>
    </row>
    <row r="147" spans="1:19" x14ac:dyDescent="0.25">
      <c r="A147">
        <v>12</v>
      </c>
      <c r="B147" t="s">
        <v>116</v>
      </c>
      <c r="D147">
        <v>-51.046999999999997</v>
      </c>
      <c r="E147">
        <v>5.0709999999999997</v>
      </c>
      <c r="F147">
        <v>-47.906999999999996</v>
      </c>
      <c r="G147">
        <v>2.92</v>
      </c>
      <c r="H147">
        <v>-11.192</v>
      </c>
      <c r="I147">
        <v>0.76400000000000001</v>
      </c>
      <c r="J147">
        <v>3.1469999999999998</v>
      </c>
      <c r="K147">
        <v>0.03</v>
      </c>
      <c r="L147">
        <v>3.1829999999999998</v>
      </c>
      <c r="M147">
        <v>4.0000000000000001E-3</v>
      </c>
      <c r="N147">
        <v>750.96400000000006</v>
      </c>
      <c r="O147">
        <v>0.66300000000000003</v>
      </c>
      <c r="S147" s="3">
        <v>45944</v>
      </c>
    </row>
    <row r="148" spans="1:19" x14ac:dyDescent="0.25">
      <c r="A148">
        <v>13</v>
      </c>
      <c r="B148" t="s">
        <v>117</v>
      </c>
      <c r="D148">
        <v>-51.018999999999998</v>
      </c>
      <c r="E148">
        <v>5.2249999999999996</v>
      </c>
      <c r="F148">
        <v>-46.334000000000003</v>
      </c>
      <c r="G148">
        <v>3.355</v>
      </c>
      <c r="H148">
        <v>-12.333</v>
      </c>
      <c r="I148">
        <v>0.67600000000000005</v>
      </c>
      <c r="J148">
        <v>3.403</v>
      </c>
      <c r="K148">
        <v>1.4999999999999999E-2</v>
      </c>
      <c r="L148">
        <v>3.4390000000000001</v>
      </c>
      <c r="M148">
        <v>4.0000000000000001E-3</v>
      </c>
      <c r="N148">
        <v>664.60299999999995</v>
      </c>
      <c r="O148">
        <v>0.36099999999999999</v>
      </c>
      <c r="S148" s="3">
        <v>45944</v>
      </c>
    </row>
    <row r="149" spans="1:19" x14ac:dyDescent="0.25">
      <c r="A149">
        <v>14</v>
      </c>
      <c r="B149" t="s">
        <v>118</v>
      </c>
      <c r="D149">
        <v>-46.136000000000003</v>
      </c>
      <c r="E149">
        <v>5.73</v>
      </c>
      <c r="F149">
        <v>-46.387999999999998</v>
      </c>
      <c r="G149">
        <v>3.31</v>
      </c>
      <c r="H149">
        <v>-11.135</v>
      </c>
      <c r="I149">
        <v>0.63200000000000001</v>
      </c>
      <c r="J149">
        <v>3.1539999999999999</v>
      </c>
      <c r="K149">
        <v>1.4E-2</v>
      </c>
      <c r="L149">
        <v>3.1850000000000001</v>
      </c>
      <c r="M149">
        <v>4.0000000000000001E-3</v>
      </c>
      <c r="N149">
        <v>804.17899999999997</v>
      </c>
      <c r="O149">
        <v>0.63300000000000001</v>
      </c>
      <c r="S149" s="3">
        <v>45944</v>
      </c>
    </row>
    <row r="150" spans="1:19" x14ac:dyDescent="0.25">
      <c r="A150">
        <v>15</v>
      </c>
      <c r="B150" t="s">
        <v>119</v>
      </c>
      <c r="D150">
        <v>-52.502000000000002</v>
      </c>
      <c r="E150">
        <v>5.2130000000000001</v>
      </c>
      <c r="F150">
        <v>-49.478000000000002</v>
      </c>
      <c r="G150">
        <v>3.1179999999999999</v>
      </c>
      <c r="H150">
        <v>-12.242000000000001</v>
      </c>
      <c r="I150">
        <v>0.84899999999999998</v>
      </c>
      <c r="J150">
        <v>3.387</v>
      </c>
      <c r="K150">
        <v>1.7000000000000001E-2</v>
      </c>
      <c r="L150">
        <v>3.4140000000000001</v>
      </c>
      <c r="M150">
        <v>4.0000000000000001E-3</v>
      </c>
      <c r="N150">
        <v>785.452</v>
      </c>
      <c r="O150">
        <v>0.67700000000000005</v>
      </c>
      <c r="S150" s="3">
        <v>45944</v>
      </c>
    </row>
    <row r="151" spans="1:19" x14ac:dyDescent="0.25">
      <c r="A151">
        <v>16</v>
      </c>
      <c r="B151" t="s">
        <v>120</v>
      </c>
      <c r="D151">
        <v>-49.533999999999999</v>
      </c>
      <c r="E151">
        <v>6.23</v>
      </c>
      <c r="F151">
        <v>-47.186999999999998</v>
      </c>
      <c r="G151">
        <v>3.2170000000000001</v>
      </c>
      <c r="H151">
        <v>-12.004</v>
      </c>
      <c r="I151">
        <v>0.78900000000000003</v>
      </c>
      <c r="J151">
        <v>3.1339999999999999</v>
      </c>
      <c r="K151">
        <v>1.6E-2</v>
      </c>
      <c r="L151">
        <v>3.1680000000000001</v>
      </c>
      <c r="M151">
        <v>4.0000000000000001E-3</v>
      </c>
      <c r="N151">
        <v>727.04399999999998</v>
      </c>
      <c r="O151">
        <v>0.56799999999999995</v>
      </c>
      <c r="S151" s="3">
        <v>45944</v>
      </c>
    </row>
    <row r="152" spans="1:19" x14ac:dyDescent="0.25">
      <c r="A152">
        <v>17</v>
      </c>
      <c r="B152" t="s">
        <v>64</v>
      </c>
      <c r="D152">
        <v>-45.372999999999998</v>
      </c>
      <c r="E152">
        <v>6.6529999999999996</v>
      </c>
      <c r="F152">
        <v>-45.84</v>
      </c>
      <c r="G152">
        <v>4.4459999999999997</v>
      </c>
      <c r="H152">
        <v>-39.414999999999999</v>
      </c>
      <c r="I152">
        <v>1.0660000000000001</v>
      </c>
      <c r="J152">
        <v>2.8220000000000001</v>
      </c>
      <c r="K152">
        <v>1.4999999999999999E-2</v>
      </c>
      <c r="L152">
        <v>2.8460000000000001</v>
      </c>
      <c r="M152">
        <v>3.0000000000000001E-3</v>
      </c>
      <c r="N152">
        <v>472.63400000000001</v>
      </c>
      <c r="O152">
        <v>0.36899999999999999</v>
      </c>
      <c r="S152" s="3">
        <v>45944</v>
      </c>
    </row>
    <row r="153" spans="1:19" x14ac:dyDescent="0.25">
      <c r="A153">
        <v>18</v>
      </c>
      <c r="B153" t="s">
        <v>121</v>
      </c>
      <c r="D153">
        <v>-49.933</v>
      </c>
      <c r="E153">
        <v>5.6159999999999997</v>
      </c>
      <c r="F153">
        <v>-49.427</v>
      </c>
      <c r="G153">
        <v>4.0179999999999998</v>
      </c>
      <c r="H153">
        <v>-19.32</v>
      </c>
      <c r="I153">
        <v>0.50700000000000001</v>
      </c>
      <c r="J153">
        <v>2.6789999999999998</v>
      </c>
      <c r="K153">
        <v>1.2E-2</v>
      </c>
      <c r="L153">
        <v>2.7050000000000001</v>
      </c>
      <c r="M153">
        <v>4.0000000000000001E-3</v>
      </c>
      <c r="N153">
        <v>180.99299999999999</v>
      </c>
      <c r="O153">
        <v>0.88800000000000001</v>
      </c>
      <c r="S153" s="3">
        <v>45944</v>
      </c>
    </row>
    <row r="154" spans="1:19" x14ac:dyDescent="0.25">
      <c r="A154">
        <v>19</v>
      </c>
      <c r="B154" t="s">
        <v>122</v>
      </c>
      <c r="D154">
        <v>-45.984000000000002</v>
      </c>
      <c r="E154">
        <v>0.33700000000000002</v>
      </c>
      <c r="H154">
        <v>-15.558999999999999</v>
      </c>
      <c r="I154">
        <v>0.86</v>
      </c>
      <c r="J154">
        <v>110.65</v>
      </c>
      <c r="K154">
        <v>0.124</v>
      </c>
      <c r="L154">
        <v>111.931</v>
      </c>
      <c r="M154">
        <v>0</v>
      </c>
      <c r="N154">
        <v>639.53700000000003</v>
      </c>
      <c r="O154">
        <v>0.58399999999999996</v>
      </c>
      <c r="R154" t="s">
        <v>123</v>
      </c>
      <c r="S154" s="3">
        <v>45944</v>
      </c>
    </row>
    <row r="155" spans="1:19" x14ac:dyDescent="0.25">
      <c r="A155">
        <v>1</v>
      </c>
      <c r="B155" t="s">
        <v>15</v>
      </c>
      <c r="S155" s="3">
        <v>45945</v>
      </c>
    </row>
    <row r="156" spans="1:19" x14ac:dyDescent="0.25">
      <c r="A156">
        <v>2</v>
      </c>
      <c r="B156" t="s">
        <v>48</v>
      </c>
      <c r="D156">
        <v>-42.174999999999997</v>
      </c>
      <c r="E156">
        <v>5.4669999999999996</v>
      </c>
      <c r="F156">
        <v>-45.139000000000003</v>
      </c>
      <c r="G156">
        <v>4.1879999999999997</v>
      </c>
      <c r="H156">
        <v>-40.68</v>
      </c>
      <c r="I156">
        <v>0.88100000000000001</v>
      </c>
      <c r="J156">
        <v>2.75</v>
      </c>
      <c r="K156">
        <v>1.4E-2</v>
      </c>
      <c r="L156">
        <v>2.7639999999999998</v>
      </c>
      <c r="M156">
        <v>3.0000000000000001E-3</v>
      </c>
      <c r="N156">
        <v>475.45800000000003</v>
      </c>
      <c r="O156">
        <v>0.41</v>
      </c>
      <c r="S156" s="3">
        <v>45945</v>
      </c>
    </row>
    <row r="157" spans="1:19" x14ac:dyDescent="0.25">
      <c r="A157">
        <v>3</v>
      </c>
      <c r="B157" t="s">
        <v>124</v>
      </c>
      <c r="D157">
        <v>-53.402000000000001</v>
      </c>
      <c r="E157">
        <v>6.3170000000000002</v>
      </c>
      <c r="F157">
        <v>-49.530999999999999</v>
      </c>
      <c r="G157">
        <v>3.145</v>
      </c>
      <c r="H157">
        <v>-12.561</v>
      </c>
      <c r="I157">
        <v>0.73499999999999999</v>
      </c>
      <c r="J157">
        <v>3.25</v>
      </c>
      <c r="K157">
        <v>1.7000000000000001E-2</v>
      </c>
      <c r="L157">
        <v>3.2730000000000001</v>
      </c>
      <c r="M157">
        <v>4.0000000000000001E-3</v>
      </c>
      <c r="N157">
        <v>714.38300000000004</v>
      </c>
      <c r="O157">
        <v>0.58699999999999997</v>
      </c>
      <c r="S157" s="3">
        <v>45945</v>
      </c>
    </row>
    <row r="158" spans="1:19" x14ac:dyDescent="0.25">
      <c r="A158">
        <v>4</v>
      </c>
      <c r="B158" t="s">
        <v>125</v>
      </c>
      <c r="D158">
        <v>-51.582000000000001</v>
      </c>
      <c r="E158">
        <v>6.2640000000000002</v>
      </c>
      <c r="F158">
        <v>-47.439</v>
      </c>
      <c r="G158">
        <v>3.52</v>
      </c>
      <c r="H158">
        <v>-13.436</v>
      </c>
      <c r="I158">
        <v>0.67300000000000004</v>
      </c>
      <c r="J158">
        <v>3.1120000000000001</v>
      </c>
      <c r="K158">
        <v>1.4999999999999999E-2</v>
      </c>
      <c r="L158">
        <v>3.145</v>
      </c>
      <c r="M158">
        <v>4.0000000000000001E-3</v>
      </c>
      <c r="N158">
        <v>674.09900000000005</v>
      </c>
      <c r="O158">
        <v>0.67</v>
      </c>
      <c r="S158" s="3">
        <v>45945</v>
      </c>
    </row>
    <row r="159" spans="1:19" x14ac:dyDescent="0.25">
      <c r="A159">
        <v>5</v>
      </c>
      <c r="B159" t="s">
        <v>126</v>
      </c>
      <c r="D159">
        <v>-49.828000000000003</v>
      </c>
      <c r="E159">
        <v>6.2569999999999997</v>
      </c>
      <c r="F159">
        <v>-46.668999999999997</v>
      </c>
      <c r="G159">
        <v>5.5570000000000004</v>
      </c>
      <c r="H159">
        <v>-11.397</v>
      </c>
      <c r="I159">
        <v>0.77800000000000002</v>
      </c>
      <c r="J159">
        <v>3.052</v>
      </c>
      <c r="K159">
        <v>1.0999999999999999E-2</v>
      </c>
      <c r="L159">
        <v>3.008</v>
      </c>
      <c r="M159">
        <v>5.0000000000000001E-3</v>
      </c>
      <c r="N159">
        <v>740.04899999999998</v>
      </c>
      <c r="O159">
        <v>0.77200000000000002</v>
      </c>
      <c r="S159" s="3">
        <v>45945</v>
      </c>
    </row>
    <row r="160" spans="1:19" x14ac:dyDescent="0.25">
      <c r="A160">
        <v>6</v>
      </c>
      <c r="B160" t="s">
        <v>127</v>
      </c>
      <c r="D160">
        <v>-54.301000000000002</v>
      </c>
      <c r="E160">
        <v>5.5519999999999996</v>
      </c>
      <c r="F160">
        <v>-49.024000000000001</v>
      </c>
      <c r="G160">
        <v>3.34</v>
      </c>
      <c r="H160">
        <v>-11.108000000000001</v>
      </c>
      <c r="I160">
        <v>0.59399999999999997</v>
      </c>
      <c r="J160">
        <v>3.1459999999999999</v>
      </c>
      <c r="K160">
        <v>1.4999999999999999E-2</v>
      </c>
      <c r="L160">
        <v>3.1720000000000002</v>
      </c>
      <c r="M160">
        <v>4.0000000000000001E-3</v>
      </c>
      <c r="N160">
        <v>815.96699999999998</v>
      </c>
      <c r="O160">
        <v>0.68799999999999994</v>
      </c>
      <c r="S160" s="3">
        <v>45945</v>
      </c>
    </row>
    <row r="161" spans="1:19" x14ac:dyDescent="0.25">
      <c r="A161">
        <v>7</v>
      </c>
      <c r="B161" t="s">
        <v>128</v>
      </c>
      <c r="D161">
        <v>-51.014000000000003</v>
      </c>
      <c r="E161">
        <v>6.4249999999999998</v>
      </c>
      <c r="F161">
        <v>-49.119</v>
      </c>
      <c r="G161">
        <v>4.0069999999999997</v>
      </c>
      <c r="H161">
        <v>-11.266</v>
      </c>
      <c r="I161">
        <v>0.622</v>
      </c>
      <c r="J161">
        <v>3.1160000000000001</v>
      </c>
      <c r="K161">
        <v>1.7000000000000001E-2</v>
      </c>
      <c r="L161">
        <v>3.1509999999999998</v>
      </c>
      <c r="M161">
        <v>4.0000000000000001E-3</v>
      </c>
      <c r="N161">
        <v>844.72699999999998</v>
      </c>
      <c r="O161">
        <v>0.67400000000000004</v>
      </c>
      <c r="S161" s="3">
        <v>45945</v>
      </c>
    </row>
    <row r="162" spans="1:19" x14ac:dyDescent="0.25">
      <c r="A162">
        <v>8</v>
      </c>
      <c r="B162" t="s">
        <v>129</v>
      </c>
      <c r="D162">
        <v>-51.116</v>
      </c>
      <c r="E162">
        <v>5.9829999999999997</v>
      </c>
      <c r="F162">
        <v>-48.057000000000002</v>
      </c>
      <c r="G162">
        <v>4.2309999999999999</v>
      </c>
      <c r="H162">
        <v>-11.859</v>
      </c>
      <c r="I162">
        <v>0.79100000000000004</v>
      </c>
      <c r="J162">
        <v>3.0209999999999999</v>
      </c>
      <c r="K162">
        <v>1.4999999999999999E-2</v>
      </c>
      <c r="L162">
        <v>3.0470000000000002</v>
      </c>
      <c r="M162">
        <v>4.0000000000000001E-3</v>
      </c>
      <c r="N162">
        <v>684.26499999999999</v>
      </c>
      <c r="O162">
        <v>0.495</v>
      </c>
      <c r="S162" s="3">
        <v>45945</v>
      </c>
    </row>
    <row r="163" spans="1:19" x14ac:dyDescent="0.25">
      <c r="A163">
        <v>9</v>
      </c>
      <c r="B163" t="s">
        <v>56</v>
      </c>
      <c r="D163">
        <v>-46.648000000000003</v>
      </c>
      <c r="E163">
        <v>5.141</v>
      </c>
      <c r="F163">
        <v>-46.558</v>
      </c>
      <c r="G163">
        <v>2.9910000000000001</v>
      </c>
      <c r="H163">
        <v>-40.006999999999998</v>
      </c>
      <c r="I163">
        <v>0.93400000000000005</v>
      </c>
      <c r="J163">
        <v>2.871</v>
      </c>
      <c r="K163">
        <v>1.2999999999999999E-2</v>
      </c>
      <c r="L163">
        <v>2.8820000000000001</v>
      </c>
      <c r="M163">
        <v>3.0000000000000001E-3</v>
      </c>
      <c r="N163">
        <v>477.637</v>
      </c>
      <c r="O163">
        <v>0.39900000000000002</v>
      </c>
      <c r="S163" s="3">
        <v>45945</v>
      </c>
    </row>
    <row r="164" spans="1:19" x14ac:dyDescent="0.25">
      <c r="A164">
        <v>10</v>
      </c>
      <c r="B164" t="s">
        <v>130</v>
      </c>
      <c r="D164">
        <v>-48.991</v>
      </c>
      <c r="E164">
        <v>5.4779999999999998</v>
      </c>
      <c r="F164">
        <v>-48.75</v>
      </c>
      <c r="G164">
        <v>3.1669999999999998</v>
      </c>
      <c r="H164">
        <v>-11.57</v>
      </c>
      <c r="I164">
        <v>0.85299999999999998</v>
      </c>
      <c r="J164">
        <v>2.9220000000000002</v>
      </c>
      <c r="K164">
        <v>1.2E-2</v>
      </c>
      <c r="L164">
        <v>2.944</v>
      </c>
      <c r="M164">
        <v>3.0000000000000001E-3</v>
      </c>
      <c r="N164">
        <v>733.10400000000004</v>
      </c>
      <c r="O164">
        <v>0.61699999999999999</v>
      </c>
      <c r="S164" s="3">
        <v>45945</v>
      </c>
    </row>
    <row r="165" spans="1:19" x14ac:dyDescent="0.25">
      <c r="A165">
        <v>11</v>
      </c>
      <c r="B165" t="s">
        <v>131</v>
      </c>
      <c r="D165">
        <v>-50.816000000000003</v>
      </c>
      <c r="E165">
        <v>5.8550000000000004</v>
      </c>
      <c r="F165">
        <v>-48.765999999999998</v>
      </c>
      <c r="G165">
        <v>3.4460000000000002</v>
      </c>
      <c r="H165">
        <v>-12.282999999999999</v>
      </c>
      <c r="I165">
        <v>0.69299999999999995</v>
      </c>
      <c r="J165">
        <v>3.0529999999999999</v>
      </c>
      <c r="K165">
        <v>1.6E-2</v>
      </c>
      <c r="L165">
        <v>3.0870000000000002</v>
      </c>
      <c r="M165">
        <v>4.0000000000000001E-3</v>
      </c>
      <c r="N165">
        <v>713.83399999999995</v>
      </c>
      <c r="O165">
        <v>0.624</v>
      </c>
      <c r="S165" s="3">
        <v>45945</v>
      </c>
    </row>
    <row r="166" spans="1:19" x14ac:dyDescent="0.25">
      <c r="A166">
        <v>12</v>
      </c>
      <c r="B166" t="s">
        <v>132</v>
      </c>
      <c r="D166">
        <v>-49.209000000000003</v>
      </c>
      <c r="E166">
        <v>4.9180000000000001</v>
      </c>
      <c r="F166">
        <v>-47.58</v>
      </c>
      <c r="G166">
        <v>4.1459999999999999</v>
      </c>
      <c r="H166">
        <v>-16.821000000000002</v>
      </c>
      <c r="I166">
        <v>0.57299999999999995</v>
      </c>
      <c r="J166">
        <v>3.085</v>
      </c>
      <c r="K166">
        <v>1.2999999999999999E-2</v>
      </c>
      <c r="L166">
        <v>3.12</v>
      </c>
      <c r="M166">
        <v>4.0000000000000001E-3</v>
      </c>
      <c r="N166">
        <v>1044.9939999999999</v>
      </c>
      <c r="O166">
        <v>0.79100000000000004</v>
      </c>
      <c r="S166" s="3">
        <v>45945</v>
      </c>
    </row>
    <row r="167" spans="1:19" x14ac:dyDescent="0.25">
      <c r="A167">
        <v>13</v>
      </c>
      <c r="B167" t="s">
        <v>133</v>
      </c>
      <c r="D167">
        <v>-49.588999999999999</v>
      </c>
      <c r="E167">
        <v>6.1120000000000001</v>
      </c>
      <c r="F167">
        <v>-47.076000000000001</v>
      </c>
      <c r="G167">
        <v>4.1070000000000002</v>
      </c>
      <c r="H167">
        <v>-12.537000000000001</v>
      </c>
      <c r="I167">
        <v>0.69099999999999995</v>
      </c>
      <c r="J167">
        <v>3.06</v>
      </c>
      <c r="K167">
        <v>1.7000000000000001E-2</v>
      </c>
      <c r="L167">
        <v>3.0910000000000002</v>
      </c>
      <c r="M167">
        <v>3.0000000000000001E-3</v>
      </c>
      <c r="N167">
        <v>708.82100000000003</v>
      </c>
      <c r="O167">
        <v>0.47</v>
      </c>
      <c r="S167" s="3">
        <v>45945</v>
      </c>
    </row>
    <row r="168" spans="1:19" x14ac:dyDescent="0.25">
      <c r="A168">
        <v>14</v>
      </c>
      <c r="B168" t="s">
        <v>134</v>
      </c>
      <c r="D168">
        <v>-49.484999999999999</v>
      </c>
      <c r="E168">
        <v>6.5430000000000001</v>
      </c>
      <c r="F168">
        <v>-48.634</v>
      </c>
      <c r="G168">
        <v>4.7759999999999998</v>
      </c>
      <c r="H168">
        <v>-21.015000000000001</v>
      </c>
      <c r="I168">
        <v>0.51200000000000001</v>
      </c>
      <c r="J168">
        <v>3.097</v>
      </c>
      <c r="K168">
        <v>1.4999999999999999E-2</v>
      </c>
      <c r="L168">
        <v>3.1309999999999998</v>
      </c>
      <c r="M168">
        <v>3.0000000000000001E-3</v>
      </c>
      <c r="N168">
        <v>1682.7</v>
      </c>
      <c r="O168">
        <v>0.85399999999999998</v>
      </c>
      <c r="S168" s="3">
        <v>45945</v>
      </c>
    </row>
    <row r="169" spans="1:19" x14ac:dyDescent="0.25">
      <c r="A169" s="8">
        <v>15</v>
      </c>
      <c r="B169" s="8" t="s">
        <v>135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 t="s">
        <v>136</v>
      </c>
      <c r="S169" s="3">
        <v>45945</v>
      </c>
    </row>
    <row r="170" spans="1:19" x14ac:dyDescent="0.25">
      <c r="A170">
        <v>16</v>
      </c>
      <c r="B170" t="s">
        <v>135</v>
      </c>
      <c r="C170">
        <f>(45-20)/(45-20+20)</f>
        <v>0.55555555555555558</v>
      </c>
      <c r="D170">
        <v>-47.429000000000002</v>
      </c>
      <c r="E170">
        <v>11.539</v>
      </c>
      <c r="F170">
        <v>-45.317</v>
      </c>
      <c r="G170">
        <v>6.016</v>
      </c>
      <c r="H170">
        <v>-14.923999999999999</v>
      </c>
      <c r="I170">
        <v>0.75600000000000001</v>
      </c>
      <c r="J170">
        <v>1.6339999999999999</v>
      </c>
      <c r="K170">
        <v>1.4999999999999999E-2</v>
      </c>
      <c r="L170">
        <v>1.6559999999999999</v>
      </c>
      <c r="M170">
        <v>2E-3</v>
      </c>
      <c r="N170">
        <v>645.34199999999998</v>
      </c>
      <c r="O170">
        <v>0.372</v>
      </c>
      <c r="S170" s="3">
        <v>45945</v>
      </c>
    </row>
    <row r="171" spans="1:19" x14ac:dyDescent="0.25">
      <c r="A171">
        <v>1</v>
      </c>
      <c r="B171" t="s">
        <v>15</v>
      </c>
      <c r="R171" t="s">
        <v>137</v>
      </c>
      <c r="S171" s="3">
        <v>45946</v>
      </c>
    </row>
    <row r="172" spans="1:19" x14ac:dyDescent="0.25">
      <c r="A172">
        <v>2</v>
      </c>
      <c r="B172" t="s">
        <v>15</v>
      </c>
      <c r="R172" t="s">
        <v>137</v>
      </c>
      <c r="S172" s="3">
        <v>45946</v>
      </c>
    </row>
    <row r="173" spans="1:19" x14ac:dyDescent="0.25">
      <c r="A173">
        <v>3</v>
      </c>
      <c r="B173" t="s">
        <v>15</v>
      </c>
      <c r="S173" s="3">
        <v>45946</v>
      </c>
    </row>
    <row r="174" spans="1:19" x14ac:dyDescent="0.25">
      <c r="A174">
        <v>4</v>
      </c>
      <c r="B174" t="s">
        <v>48</v>
      </c>
      <c r="D174">
        <v>-41.134999999999998</v>
      </c>
      <c r="E174">
        <v>5.74</v>
      </c>
      <c r="F174">
        <v>-43.241</v>
      </c>
      <c r="G174">
        <v>3.3559999999999999</v>
      </c>
      <c r="H174">
        <v>-41.194000000000003</v>
      </c>
      <c r="I174">
        <v>0.996</v>
      </c>
      <c r="J174">
        <v>2.887</v>
      </c>
      <c r="K174">
        <v>1.6E-2</v>
      </c>
      <c r="L174">
        <v>2.8969999999999998</v>
      </c>
      <c r="M174">
        <v>3.0000000000000001E-3</v>
      </c>
      <c r="N174">
        <v>539.95399999999995</v>
      </c>
      <c r="O174">
        <v>0.38500000000000001</v>
      </c>
      <c r="S174" s="3">
        <v>45946</v>
      </c>
    </row>
    <row r="175" spans="1:19" x14ac:dyDescent="0.25">
      <c r="A175">
        <v>5</v>
      </c>
      <c r="B175" t="s">
        <v>138</v>
      </c>
      <c r="D175">
        <v>-47.668999999999997</v>
      </c>
      <c r="E175">
        <v>5.39</v>
      </c>
      <c r="F175">
        <v>-47.231999999999999</v>
      </c>
      <c r="G175">
        <v>3.09</v>
      </c>
      <c r="H175">
        <v>-11.138</v>
      </c>
      <c r="I175">
        <v>0.57899999999999996</v>
      </c>
      <c r="J175">
        <v>3.218</v>
      </c>
      <c r="K175">
        <v>1.4E-2</v>
      </c>
      <c r="L175">
        <v>3.238</v>
      </c>
      <c r="M175">
        <v>3.0000000000000001E-3</v>
      </c>
      <c r="N175">
        <v>801.61400000000003</v>
      </c>
      <c r="O175">
        <v>0.45700000000000002</v>
      </c>
      <c r="S175" s="3">
        <v>45946</v>
      </c>
    </row>
    <row r="176" spans="1:19" x14ac:dyDescent="0.25">
      <c r="A176">
        <v>6</v>
      </c>
      <c r="B176" t="s">
        <v>139</v>
      </c>
      <c r="D176">
        <v>-50.601999999999997</v>
      </c>
      <c r="E176">
        <v>6.9189999999999996</v>
      </c>
      <c r="F176">
        <v>-48.241</v>
      </c>
      <c r="G176">
        <v>2.895</v>
      </c>
      <c r="H176">
        <v>-12.382999999999999</v>
      </c>
      <c r="I176">
        <v>0.71599999999999997</v>
      </c>
      <c r="J176">
        <v>3.2</v>
      </c>
      <c r="K176">
        <v>1.7999999999999999E-2</v>
      </c>
      <c r="L176">
        <v>3.2290000000000001</v>
      </c>
      <c r="M176">
        <v>4.0000000000000001E-3</v>
      </c>
      <c r="N176">
        <v>723.58199999999999</v>
      </c>
      <c r="O176">
        <v>0.47</v>
      </c>
      <c r="S176" s="3">
        <v>45946</v>
      </c>
    </row>
    <row r="177" spans="1:19" x14ac:dyDescent="0.25">
      <c r="A177">
        <v>7</v>
      </c>
      <c r="B177" t="s">
        <v>140</v>
      </c>
      <c r="D177">
        <v>-50.396000000000001</v>
      </c>
      <c r="E177">
        <v>5.7880000000000003</v>
      </c>
      <c r="F177">
        <v>-46.6</v>
      </c>
      <c r="G177">
        <v>4.0759999999999996</v>
      </c>
      <c r="H177">
        <v>-12.53</v>
      </c>
      <c r="I177">
        <v>0.69</v>
      </c>
      <c r="J177">
        <v>3.1709999999999998</v>
      </c>
      <c r="K177">
        <v>1.4999999999999999E-2</v>
      </c>
      <c r="L177">
        <v>3.2029999999999998</v>
      </c>
      <c r="M177">
        <v>2E-3</v>
      </c>
      <c r="N177">
        <v>849.30600000000004</v>
      </c>
      <c r="O177">
        <v>0.45500000000000002</v>
      </c>
      <c r="S177" s="3">
        <v>45946</v>
      </c>
    </row>
    <row r="178" spans="1:19" x14ac:dyDescent="0.25">
      <c r="A178">
        <v>8</v>
      </c>
      <c r="B178" t="s">
        <v>141</v>
      </c>
      <c r="D178">
        <v>-46.790999999999997</v>
      </c>
      <c r="E178">
        <v>6.3159999999999998</v>
      </c>
      <c r="F178">
        <v>-47.279000000000003</v>
      </c>
      <c r="G178">
        <v>4.3239999999999998</v>
      </c>
      <c r="H178">
        <v>-11.307</v>
      </c>
      <c r="I178">
        <v>0.58799999999999997</v>
      </c>
      <c r="J178">
        <v>2.948</v>
      </c>
      <c r="K178">
        <v>1.2999999999999999E-2</v>
      </c>
      <c r="L178">
        <v>2.9769999999999999</v>
      </c>
      <c r="M178">
        <v>4.0000000000000001E-3</v>
      </c>
      <c r="N178">
        <v>745.96799999999996</v>
      </c>
      <c r="O178">
        <v>0.66700000000000004</v>
      </c>
      <c r="S178" s="3">
        <v>45946</v>
      </c>
    </row>
    <row r="179" spans="1:19" x14ac:dyDescent="0.25">
      <c r="A179">
        <v>9</v>
      </c>
      <c r="B179" t="s">
        <v>142</v>
      </c>
      <c r="D179">
        <v>-61.042000000000002</v>
      </c>
      <c r="E179">
        <v>0.32100000000000001</v>
      </c>
      <c r="H179">
        <v>-2.0750000000000002</v>
      </c>
      <c r="I179">
        <v>0.95199999999999996</v>
      </c>
      <c r="J179">
        <v>251.55</v>
      </c>
      <c r="K179">
        <v>0.253</v>
      </c>
      <c r="L179">
        <v>248.15899999999999</v>
      </c>
      <c r="M179">
        <v>0.96</v>
      </c>
      <c r="N179">
        <v>649.81200000000001</v>
      </c>
      <c r="O179">
        <v>0.48099999999999998</v>
      </c>
      <c r="R179" t="s">
        <v>143</v>
      </c>
      <c r="S179" s="3">
        <v>45946</v>
      </c>
    </row>
    <row r="180" spans="1:19" x14ac:dyDescent="0.25">
      <c r="A180">
        <v>10</v>
      </c>
      <c r="B180" t="s">
        <v>15</v>
      </c>
      <c r="J180">
        <v>3.6810999999999998</v>
      </c>
      <c r="K180">
        <v>1.4E-2</v>
      </c>
      <c r="L180">
        <v>3.6949999999999998</v>
      </c>
      <c r="M180">
        <v>4.0000000000000001E-3</v>
      </c>
      <c r="N180">
        <v>12.602</v>
      </c>
      <c r="O180">
        <v>0.1148</v>
      </c>
      <c r="S180" s="3">
        <v>45946</v>
      </c>
    </row>
    <row r="181" spans="1:19" x14ac:dyDescent="0.25">
      <c r="A181">
        <v>11</v>
      </c>
      <c r="B181" t="s">
        <v>15</v>
      </c>
      <c r="J181">
        <v>0.08</v>
      </c>
      <c r="K181">
        <v>1.2999999999999999E-2</v>
      </c>
      <c r="L181">
        <v>6.9000000000000006E-2</v>
      </c>
      <c r="M181">
        <v>1.0999999999999999E-2</v>
      </c>
      <c r="N181">
        <v>9.6989999999999998</v>
      </c>
      <c r="O181">
        <v>0.13700000000000001</v>
      </c>
      <c r="S181" s="3">
        <v>45946</v>
      </c>
    </row>
    <row r="182" spans="1:19" x14ac:dyDescent="0.25">
      <c r="A182">
        <v>12</v>
      </c>
      <c r="B182" t="s">
        <v>144</v>
      </c>
      <c r="D182">
        <v>-50.554000000000002</v>
      </c>
      <c r="E182">
        <v>4.9749999999999996</v>
      </c>
      <c r="F182">
        <v>-49.003</v>
      </c>
      <c r="G182">
        <v>3.601</v>
      </c>
      <c r="H182">
        <v>-1.542</v>
      </c>
      <c r="I182">
        <v>0.85799999999999998</v>
      </c>
      <c r="J182">
        <v>3.0859999999999999</v>
      </c>
      <c r="K182">
        <v>1.2999999999999999E-2</v>
      </c>
      <c r="L182">
        <v>3.113</v>
      </c>
      <c r="M182">
        <v>4.0000000000000001E-3</v>
      </c>
      <c r="N182">
        <v>671.48</v>
      </c>
      <c r="O182">
        <v>0.46600000000000003</v>
      </c>
      <c r="S182" s="3">
        <v>45946</v>
      </c>
    </row>
    <row r="183" spans="1:19" x14ac:dyDescent="0.25">
      <c r="A183">
        <v>13</v>
      </c>
      <c r="B183" t="s">
        <v>64</v>
      </c>
      <c r="D183">
        <v>-47.365000000000002</v>
      </c>
      <c r="E183">
        <v>7.1870000000000003</v>
      </c>
      <c r="F183">
        <v>-46.378999999999998</v>
      </c>
      <c r="G183">
        <v>3.7410000000000001</v>
      </c>
      <c r="H183">
        <v>-38.613</v>
      </c>
      <c r="I183">
        <v>0.82299999999999995</v>
      </c>
      <c r="J183">
        <v>2.8170000000000002</v>
      </c>
      <c r="K183">
        <v>1.7999999999999999E-2</v>
      </c>
      <c r="L183">
        <v>2.8420000000000001</v>
      </c>
      <c r="M183">
        <v>4.0000000000000001E-3</v>
      </c>
      <c r="N183">
        <v>464.36599999999999</v>
      </c>
      <c r="O183">
        <v>0.40899999999999997</v>
      </c>
      <c r="S183" s="3">
        <v>45946</v>
      </c>
    </row>
    <row r="184" spans="1:19" x14ac:dyDescent="0.25">
      <c r="A184">
        <v>14</v>
      </c>
      <c r="B184" t="s">
        <v>145</v>
      </c>
      <c r="D184">
        <v>-66.233000000000004</v>
      </c>
      <c r="E184">
        <v>6.2210000000000001</v>
      </c>
      <c r="F184">
        <v>-51.826000000000001</v>
      </c>
      <c r="G184">
        <v>4.6319999999999997</v>
      </c>
      <c r="H184">
        <v>-12.548999999999999</v>
      </c>
      <c r="I184">
        <v>0.77900000000000003</v>
      </c>
      <c r="J184">
        <v>2.5670000000000002</v>
      </c>
      <c r="K184">
        <v>1.6E-2</v>
      </c>
      <c r="L184">
        <v>2.548</v>
      </c>
      <c r="M184">
        <v>7.0000000000000001E-3</v>
      </c>
      <c r="N184">
        <v>730.35</v>
      </c>
      <c r="O184">
        <v>1.2549999999999999</v>
      </c>
      <c r="S184" s="3">
        <v>45946</v>
      </c>
    </row>
    <row r="185" spans="1:19" x14ac:dyDescent="0.25">
      <c r="A185">
        <v>15</v>
      </c>
      <c r="B185" t="s">
        <v>145</v>
      </c>
      <c r="D185">
        <v>-62.72</v>
      </c>
      <c r="E185">
        <v>9.5549999999999997</v>
      </c>
      <c r="F185">
        <v>-58.021999999999998</v>
      </c>
      <c r="G185">
        <v>4.9169999999999998</v>
      </c>
      <c r="H185">
        <v>-12.537000000000001</v>
      </c>
      <c r="I185">
        <v>0.76900000000000002</v>
      </c>
      <c r="J185">
        <v>2.2570000000000001</v>
      </c>
      <c r="K185">
        <v>1.9E-2</v>
      </c>
      <c r="L185">
        <v>2.2599999999999998</v>
      </c>
      <c r="M185">
        <v>6.0000000000000001E-3</v>
      </c>
      <c r="N185">
        <v>638.98400000000004</v>
      </c>
      <c r="O185">
        <v>1.202</v>
      </c>
      <c r="S185" s="3">
        <v>45946</v>
      </c>
    </row>
    <row r="186" spans="1:19" x14ac:dyDescent="0.25">
      <c r="A186">
        <v>16</v>
      </c>
      <c r="B186" t="s">
        <v>121</v>
      </c>
      <c r="D186">
        <v>-51.372999999999998</v>
      </c>
      <c r="E186">
        <v>6.8179999999999996</v>
      </c>
      <c r="F186">
        <v>-50.069000000000003</v>
      </c>
      <c r="G186">
        <v>5.1340000000000003</v>
      </c>
      <c r="H186">
        <v>-12.813000000000001</v>
      </c>
      <c r="I186">
        <v>0.45500000000000002</v>
      </c>
      <c r="J186">
        <v>2.6779999999999999</v>
      </c>
      <c r="K186">
        <v>1.4E-2</v>
      </c>
      <c r="L186">
        <v>2.6960000000000002</v>
      </c>
      <c r="M186">
        <v>4.0000000000000001E-3</v>
      </c>
      <c r="N186">
        <v>2491.2710000000002</v>
      </c>
      <c r="O186">
        <v>1.8939999999999999</v>
      </c>
      <c r="S186" s="3">
        <v>45946</v>
      </c>
    </row>
    <row r="187" spans="1:19" x14ac:dyDescent="0.25">
      <c r="A187">
        <v>17</v>
      </c>
      <c r="B187" t="s">
        <v>146</v>
      </c>
      <c r="D187">
        <v>-58.536000000000001</v>
      </c>
      <c r="E187">
        <v>7.91</v>
      </c>
      <c r="F187">
        <v>-55.430999999999997</v>
      </c>
      <c r="G187">
        <v>6.0990000000000002</v>
      </c>
      <c r="H187">
        <v>-9.3640000000000008</v>
      </c>
      <c r="I187">
        <v>0.42699999999999999</v>
      </c>
      <c r="J187">
        <v>1.8540000000000001</v>
      </c>
      <c r="K187">
        <v>1.0999999999999999E-2</v>
      </c>
      <c r="L187">
        <v>1.8660000000000001</v>
      </c>
      <c r="M187">
        <v>2E-3</v>
      </c>
      <c r="N187">
        <v>1950.9739999999999</v>
      </c>
      <c r="O187">
        <v>1.365</v>
      </c>
      <c r="S187" s="3">
        <v>45946</v>
      </c>
    </row>
    <row r="188" spans="1:19" x14ac:dyDescent="0.25">
      <c r="A188">
        <v>18</v>
      </c>
      <c r="B188" t="s">
        <v>65</v>
      </c>
      <c r="C188">
        <f>5/45</f>
        <v>0.1111111111111111</v>
      </c>
      <c r="D188">
        <v>-52.298000000000002</v>
      </c>
      <c r="E188">
        <v>0.28499999999999998</v>
      </c>
      <c r="J188">
        <v>658.42399999999998</v>
      </c>
      <c r="K188">
        <v>0.59899999999999998</v>
      </c>
      <c r="S188" s="3">
        <v>45946</v>
      </c>
    </row>
    <row r="189" spans="1:19" x14ac:dyDescent="0.25">
      <c r="A189">
        <v>1</v>
      </c>
      <c r="B189" t="s">
        <v>15</v>
      </c>
      <c r="S189" s="3">
        <v>45947</v>
      </c>
    </row>
    <row r="190" spans="1:19" x14ac:dyDescent="0.25">
      <c r="A190">
        <v>2</v>
      </c>
      <c r="B190" t="s">
        <v>48</v>
      </c>
      <c r="D190">
        <v>-41.433</v>
      </c>
      <c r="E190">
        <v>5.8879999999999999</v>
      </c>
      <c r="F190">
        <v>-44.09</v>
      </c>
      <c r="G190">
        <v>3.5720000000000001</v>
      </c>
      <c r="H190">
        <v>-40.549999999999997</v>
      </c>
      <c r="I190">
        <v>0.91900000000000004</v>
      </c>
      <c r="J190">
        <v>2.8420000000000001</v>
      </c>
      <c r="K190">
        <v>1.4999999999999999E-2</v>
      </c>
      <c r="L190">
        <v>2.8540000000000001</v>
      </c>
      <c r="M190">
        <v>3.0000000000000001E-3</v>
      </c>
      <c r="N190">
        <v>483.61799999999999</v>
      </c>
      <c r="O190">
        <v>0.40899999999999997</v>
      </c>
      <c r="S190" s="3">
        <v>45947</v>
      </c>
    </row>
    <row r="191" spans="1:19" x14ac:dyDescent="0.25">
      <c r="A191">
        <v>3</v>
      </c>
      <c r="B191" t="s">
        <v>64</v>
      </c>
      <c r="D191">
        <v>-44.151000000000003</v>
      </c>
      <c r="E191">
        <v>5.9130000000000003</v>
      </c>
      <c r="F191">
        <v>-45.100999999999999</v>
      </c>
      <c r="G191">
        <v>4.08</v>
      </c>
      <c r="H191">
        <v>-38.933999999999997</v>
      </c>
      <c r="I191">
        <v>1.036</v>
      </c>
      <c r="J191">
        <v>2.8359999999999999</v>
      </c>
      <c r="K191">
        <v>1.6E-2</v>
      </c>
      <c r="L191">
        <v>2.8519999999999999</v>
      </c>
      <c r="M191">
        <v>4.0000000000000001E-3</v>
      </c>
      <c r="N191">
        <v>463.46499999999997</v>
      </c>
      <c r="O191">
        <v>0.41399999999999998</v>
      </c>
      <c r="S191" s="3">
        <v>45947</v>
      </c>
    </row>
    <row r="192" spans="1:19" x14ac:dyDescent="0.25">
      <c r="A192">
        <v>4</v>
      </c>
      <c r="B192" t="s">
        <v>49</v>
      </c>
      <c r="D192">
        <v>-51.136000000000003</v>
      </c>
      <c r="E192">
        <v>6.4379999999999997</v>
      </c>
      <c r="F192">
        <v>-49.503999999999998</v>
      </c>
      <c r="G192">
        <v>4.0270000000000001</v>
      </c>
      <c r="H192">
        <v>-38.777000000000001</v>
      </c>
      <c r="I192">
        <v>0.96899999999999997</v>
      </c>
      <c r="J192">
        <v>2.9039999999999999</v>
      </c>
      <c r="K192">
        <v>1.4E-2</v>
      </c>
      <c r="L192">
        <v>2.915</v>
      </c>
      <c r="M192">
        <v>3.0000000000000001E-3</v>
      </c>
      <c r="N192">
        <v>478.24</v>
      </c>
      <c r="O192">
        <v>0.34699999999999998</v>
      </c>
      <c r="S192" s="3">
        <v>45947</v>
      </c>
    </row>
    <row r="193" spans="1:19" x14ac:dyDescent="0.25">
      <c r="A193">
        <v>5</v>
      </c>
      <c r="B193" t="s">
        <v>49</v>
      </c>
      <c r="D193">
        <v>-47.515999999999998</v>
      </c>
      <c r="E193">
        <v>5.2220000000000004</v>
      </c>
      <c r="F193">
        <v>-47.441000000000003</v>
      </c>
      <c r="G193">
        <v>3.3149999999999999</v>
      </c>
      <c r="H193">
        <v>-33.122</v>
      </c>
      <c r="I193">
        <v>0.98399999999999999</v>
      </c>
      <c r="J193">
        <v>3.5670000000000002</v>
      </c>
      <c r="K193">
        <v>1.4999999999999999E-2</v>
      </c>
      <c r="L193">
        <v>3.5920000000000001</v>
      </c>
      <c r="M193">
        <v>3.0000000000000001E-3</v>
      </c>
      <c r="N193">
        <v>473.58300000000003</v>
      </c>
      <c r="O193">
        <v>0.36799999999999999</v>
      </c>
      <c r="S193" s="3">
        <v>45947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B6D7-DCA5-6C4B-AAD1-01450440E84F}">
  <dimension ref="A1:T7"/>
  <sheetViews>
    <sheetView workbookViewId="0">
      <selection activeCell="B5" sqref="B5"/>
    </sheetView>
  </sheetViews>
  <sheetFormatPr defaultColWidth="11" defaultRowHeight="15.75" x14ac:dyDescent="0.25"/>
  <sheetData>
    <row r="1" spans="1:20" x14ac:dyDescent="0.25">
      <c r="A1" t="s">
        <v>0</v>
      </c>
      <c r="B1" t="s">
        <v>149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  <c r="S1" t="s">
        <v>42</v>
      </c>
      <c r="T1" t="s">
        <v>147</v>
      </c>
    </row>
    <row r="2" spans="1:20" x14ac:dyDescent="0.25">
      <c r="A2">
        <v>5</v>
      </c>
      <c r="B2" t="s">
        <v>178</v>
      </c>
      <c r="D2">
        <v>-50.494</v>
      </c>
      <c r="E2">
        <v>3.0710000000000002</v>
      </c>
      <c r="F2">
        <v>-47.191000000000003</v>
      </c>
      <c r="G2">
        <v>1.8580000000000001</v>
      </c>
      <c r="H2">
        <v>-11.112</v>
      </c>
      <c r="I2">
        <v>0.88200000000000001</v>
      </c>
      <c r="J2">
        <v>6.6390000000000002</v>
      </c>
      <c r="K2">
        <v>2.1000000000000001E-2</v>
      </c>
      <c r="L2">
        <v>6.6769999999999996</v>
      </c>
      <c r="M2">
        <v>1.4999999999999999E-2</v>
      </c>
      <c r="N2">
        <v>770.84699999999998</v>
      </c>
      <c r="O2">
        <v>1.1073</v>
      </c>
      <c r="P2">
        <v>0.57799999999999996</v>
      </c>
      <c r="S2" s="3">
        <v>45952</v>
      </c>
    </row>
    <row r="3" spans="1:20" x14ac:dyDescent="0.25">
      <c r="A3">
        <v>6</v>
      </c>
      <c r="B3" t="s">
        <v>179</v>
      </c>
      <c r="D3">
        <v>-46.848999999999997</v>
      </c>
      <c r="E3">
        <v>6.5069999999999997</v>
      </c>
      <c r="F3">
        <v>-46.109000000000002</v>
      </c>
      <c r="G3">
        <v>4.3250000000000002</v>
      </c>
      <c r="H3">
        <v>-10.874000000000001</v>
      </c>
      <c r="I3">
        <v>0.70399999999999996</v>
      </c>
      <c r="J3">
        <v>2.919</v>
      </c>
      <c r="K3">
        <v>1.7000000000000001E-2</v>
      </c>
      <c r="L3">
        <v>2.952</v>
      </c>
      <c r="M3">
        <v>5.0000000000000001E-3</v>
      </c>
      <c r="N3">
        <v>797.80700000000002</v>
      </c>
      <c r="O3">
        <v>0.96499999999999997</v>
      </c>
      <c r="P3">
        <v>0.66300000000000003</v>
      </c>
      <c r="S3" s="3">
        <v>45952</v>
      </c>
    </row>
    <row r="4" spans="1:20" x14ac:dyDescent="0.25">
      <c r="A4">
        <v>7</v>
      </c>
      <c r="B4" t="s">
        <v>211</v>
      </c>
      <c r="D4">
        <v>-44.555</v>
      </c>
      <c r="E4">
        <v>2.7040000000000002</v>
      </c>
      <c r="F4">
        <v>-40.561999999999998</v>
      </c>
      <c r="G4">
        <v>1.571</v>
      </c>
      <c r="H4">
        <v>-11.025</v>
      </c>
      <c r="I4">
        <v>0.71699999999999997</v>
      </c>
      <c r="J4">
        <v>8.25</v>
      </c>
      <c r="K4">
        <v>2.1000000000000001E-2</v>
      </c>
      <c r="L4">
        <v>8.3010000000000002</v>
      </c>
      <c r="M4">
        <v>1.4E-2</v>
      </c>
      <c r="N4">
        <v>758.03200000000004</v>
      </c>
      <c r="O4">
        <v>0.94799999999999995</v>
      </c>
      <c r="P4">
        <v>0.80400000000000005</v>
      </c>
      <c r="S4" s="3">
        <v>45952</v>
      </c>
    </row>
    <row r="5" spans="1:20" x14ac:dyDescent="0.25">
      <c r="A5">
        <v>8</v>
      </c>
      <c r="B5" t="s">
        <v>180</v>
      </c>
      <c r="D5">
        <v>-46.823999999999998</v>
      </c>
      <c r="E5">
        <v>5.7960000000000003</v>
      </c>
      <c r="F5">
        <v>-45.517000000000003</v>
      </c>
      <c r="G5">
        <v>3.4870000000000001</v>
      </c>
      <c r="H5">
        <v>-11.111000000000001</v>
      </c>
      <c r="I5">
        <v>0.68400000000000005</v>
      </c>
      <c r="J5">
        <v>3.0409999999999999</v>
      </c>
      <c r="K5">
        <v>1.7000000000000001E-2</v>
      </c>
      <c r="L5">
        <v>3.0640000000000001</v>
      </c>
      <c r="M5">
        <v>4.0000000000000001E-3</v>
      </c>
      <c r="N5">
        <v>741.29399999999998</v>
      </c>
      <c r="O5">
        <v>0.64500000000000002</v>
      </c>
      <c r="P5">
        <v>0.495</v>
      </c>
      <c r="S5" s="3">
        <v>45952</v>
      </c>
    </row>
    <row r="6" spans="1:20" x14ac:dyDescent="0.25">
      <c r="A6">
        <v>9</v>
      </c>
      <c r="B6" t="s">
        <v>182</v>
      </c>
      <c r="D6">
        <v>-50.415999999999997</v>
      </c>
      <c r="E6">
        <v>6.0640000000000001</v>
      </c>
      <c r="F6">
        <v>-47.56</v>
      </c>
      <c r="G6">
        <v>3.9420000000000002</v>
      </c>
      <c r="H6">
        <v>-11.054</v>
      </c>
      <c r="I6">
        <v>0.70799999999999996</v>
      </c>
      <c r="J6">
        <v>3.008</v>
      </c>
      <c r="K6">
        <v>1.4E-2</v>
      </c>
      <c r="L6">
        <v>3.0209999999999999</v>
      </c>
      <c r="M6">
        <v>5.0000000000000001E-3</v>
      </c>
      <c r="N6">
        <v>747.154</v>
      </c>
      <c r="O6">
        <v>0.78700000000000003</v>
      </c>
      <c r="P6">
        <v>0.35899999999999999</v>
      </c>
      <c r="S6" s="3">
        <v>45952</v>
      </c>
    </row>
    <row r="7" spans="1:20" x14ac:dyDescent="0.25">
      <c r="A7">
        <v>10</v>
      </c>
      <c r="B7" t="s">
        <v>183</v>
      </c>
      <c r="D7">
        <v>-54.631999999999998</v>
      </c>
      <c r="E7">
        <v>2.415</v>
      </c>
      <c r="F7">
        <v>-53.161999999999999</v>
      </c>
      <c r="G7">
        <v>1.857</v>
      </c>
      <c r="H7">
        <v>-11.032</v>
      </c>
      <c r="I7">
        <v>0.747</v>
      </c>
      <c r="J7">
        <v>7.0439999999999996</v>
      </c>
      <c r="K7">
        <v>1.9E-2</v>
      </c>
      <c r="L7">
        <v>7.0979999999999999</v>
      </c>
      <c r="M7">
        <v>1.4E-2</v>
      </c>
      <c r="N7">
        <v>795.93700000000001</v>
      </c>
      <c r="O7">
        <v>1.0780000000000001</v>
      </c>
      <c r="P7">
        <v>0.64400000000000002</v>
      </c>
      <c r="S7" s="3">
        <v>45952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CEA1-6AA1-FB46-A004-C616617277BB}">
  <dimension ref="A1:T22"/>
  <sheetViews>
    <sheetView workbookViewId="0">
      <selection activeCell="F30" sqref="F30"/>
    </sheetView>
  </sheetViews>
  <sheetFormatPr defaultColWidth="11" defaultRowHeight="15.75" x14ac:dyDescent="0.25"/>
  <sheetData>
    <row r="1" spans="1:20" x14ac:dyDescent="0.25">
      <c r="A1" t="s">
        <v>0</v>
      </c>
      <c r="B1" t="s">
        <v>149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  <c r="S1" t="s">
        <v>42</v>
      </c>
      <c r="T1" t="s">
        <v>147</v>
      </c>
    </row>
    <row r="2" spans="1:20" x14ac:dyDescent="0.25">
      <c r="A2">
        <v>3</v>
      </c>
      <c r="B2" t="s">
        <v>163</v>
      </c>
      <c r="D2">
        <v>-54.421999999999997</v>
      </c>
      <c r="E2">
        <v>6.2430000000000003</v>
      </c>
      <c r="F2">
        <v>-49.277000000000001</v>
      </c>
      <c r="G2">
        <v>4.5359999999999996</v>
      </c>
      <c r="H2">
        <v>-19.036999999999999</v>
      </c>
      <c r="I2">
        <v>0.435</v>
      </c>
      <c r="J2">
        <v>2.8170000000000002</v>
      </c>
      <c r="K2">
        <v>1.4E-2</v>
      </c>
      <c r="L2">
        <v>2.8140000000000001</v>
      </c>
      <c r="M2">
        <v>4.0000000000000001E-3</v>
      </c>
      <c r="N2">
        <v>1288.56</v>
      </c>
      <c r="O2">
        <v>0.89500000000000002</v>
      </c>
      <c r="P2">
        <v>0.248</v>
      </c>
      <c r="S2" s="3">
        <v>45951</v>
      </c>
    </row>
    <row r="3" spans="1:20" x14ac:dyDescent="0.25">
      <c r="A3">
        <v>4</v>
      </c>
      <c r="B3" t="s">
        <v>164</v>
      </c>
      <c r="D3">
        <v>-49.103999999999999</v>
      </c>
      <c r="E3">
        <v>5.0570000000000004</v>
      </c>
      <c r="F3">
        <v>-50.65</v>
      </c>
      <c r="G3">
        <v>3.4929999999999999</v>
      </c>
      <c r="H3">
        <v>-29.574999999999999</v>
      </c>
      <c r="I3">
        <v>0.82199999999999995</v>
      </c>
      <c r="J3">
        <v>3.4769999999999999</v>
      </c>
      <c r="K3">
        <v>1.4E-2</v>
      </c>
      <c r="L3">
        <v>3.51</v>
      </c>
      <c r="M3">
        <v>7.0000000000000001E-3</v>
      </c>
      <c r="N3">
        <v>606.91800000000001</v>
      </c>
      <c r="O3">
        <v>0.47</v>
      </c>
      <c r="P3">
        <v>0.23200000000000001</v>
      </c>
      <c r="S3" s="3">
        <v>45951</v>
      </c>
    </row>
    <row r="4" spans="1:20" x14ac:dyDescent="0.25">
      <c r="A4">
        <v>5</v>
      </c>
      <c r="B4" t="s">
        <v>165</v>
      </c>
      <c r="D4">
        <v>-50.774000000000001</v>
      </c>
      <c r="E4">
        <v>5.53</v>
      </c>
      <c r="F4">
        <v>-49.231999999999999</v>
      </c>
      <c r="G4">
        <v>4.1959999999999997</v>
      </c>
      <c r="H4">
        <v>-35.545000000000002</v>
      </c>
      <c r="I4">
        <v>0.74199999999999999</v>
      </c>
      <c r="J4">
        <v>2.7970000000000002</v>
      </c>
      <c r="K4">
        <v>1.2999999999999999E-2</v>
      </c>
      <c r="L4">
        <v>2.806</v>
      </c>
      <c r="M4">
        <v>3.0000000000000001E-3</v>
      </c>
      <c r="N4">
        <v>472.738</v>
      </c>
      <c r="O4">
        <v>0.41499999999999998</v>
      </c>
      <c r="P4">
        <v>0.216</v>
      </c>
      <c r="S4" s="3">
        <v>45951</v>
      </c>
    </row>
    <row r="5" spans="1:20" x14ac:dyDescent="0.25">
      <c r="A5">
        <v>6</v>
      </c>
      <c r="B5" t="s">
        <v>166</v>
      </c>
      <c r="D5">
        <v>-48.436999999999998</v>
      </c>
      <c r="E5">
        <v>5.6820000000000004</v>
      </c>
      <c r="F5">
        <v>-47.694000000000003</v>
      </c>
      <c r="G5">
        <v>4.7279999999999998</v>
      </c>
      <c r="H5">
        <v>-23.655000000000001</v>
      </c>
      <c r="I5">
        <v>0.622</v>
      </c>
      <c r="J5">
        <v>2.7320000000000002</v>
      </c>
      <c r="K5">
        <v>1.4999999999999999E-2</v>
      </c>
      <c r="L5">
        <v>2.75</v>
      </c>
      <c r="M5">
        <v>2E-3</v>
      </c>
      <c r="N5">
        <v>877.70799999999997</v>
      </c>
      <c r="O5">
        <v>0.33200000000000002</v>
      </c>
      <c r="P5">
        <v>0.373</v>
      </c>
      <c r="S5" s="3">
        <v>45951</v>
      </c>
    </row>
    <row r="6" spans="1:20" x14ac:dyDescent="0.25">
      <c r="A6">
        <v>3</v>
      </c>
      <c r="B6" t="s">
        <v>168</v>
      </c>
      <c r="D6">
        <v>-45.255000000000003</v>
      </c>
      <c r="E6">
        <v>5.5919999999999996</v>
      </c>
      <c r="F6">
        <v>-45.363</v>
      </c>
      <c r="G6">
        <v>3.875</v>
      </c>
      <c r="H6">
        <v>-39.177999999999997</v>
      </c>
      <c r="I6">
        <v>1.0229999999999999</v>
      </c>
      <c r="J6">
        <v>2.875</v>
      </c>
      <c r="K6">
        <v>1.0999999999999999E-2</v>
      </c>
      <c r="L6">
        <v>2.887</v>
      </c>
      <c r="M6">
        <v>4.0000000000000001E-3</v>
      </c>
      <c r="N6">
        <v>483.48500000000001</v>
      </c>
      <c r="O6">
        <v>0.40500000000000003</v>
      </c>
      <c r="P6">
        <v>0.154</v>
      </c>
      <c r="S6" s="3">
        <v>45952</v>
      </c>
    </row>
    <row r="7" spans="1:20" x14ac:dyDescent="0.25">
      <c r="A7">
        <v>4</v>
      </c>
      <c r="B7" t="s">
        <v>176</v>
      </c>
      <c r="D7">
        <v>-48.167999999999999</v>
      </c>
      <c r="E7">
        <v>8.1430000000000007</v>
      </c>
      <c r="F7">
        <v>-47.332999999999998</v>
      </c>
      <c r="G7">
        <v>4.0289999999999999</v>
      </c>
      <c r="H7">
        <v>-31.855</v>
      </c>
      <c r="I7">
        <v>1.32</v>
      </c>
      <c r="J7">
        <v>2.7559999999999998</v>
      </c>
      <c r="K7">
        <v>1.7000000000000001E-2</v>
      </c>
      <c r="L7">
        <v>2.7610000000000001</v>
      </c>
      <c r="M7">
        <v>3.0000000000000001E-3</v>
      </c>
      <c r="N7">
        <v>511.767</v>
      </c>
      <c r="O7">
        <v>0.27400000000000002</v>
      </c>
      <c r="P7">
        <v>0.108</v>
      </c>
      <c r="S7" s="3">
        <v>45952</v>
      </c>
    </row>
    <row r="8" spans="1:20" x14ac:dyDescent="0.25">
      <c r="A8">
        <v>3</v>
      </c>
      <c r="B8" t="s">
        <v>177</v>
      </c>
      <c r="D8">
        <v>-60.003</v>
      </c>
      <c r="E8">
        <v>0.76</v>
      </c>
      <c r="H8">
        <v>-32.335000000000001</v>
      </c>
      <c r="I8">
        <v>0.878</v>
      </c>
      <c r="J8">
        <v>21.081</v>
      </c>
      <c r="K8">
        <v>2.8000000000000001E-2</v>
      </c>
      <c r="L8">
        <v>20.521000000000001</v>
      </c>
      <c r="M8">
        <v>0</v>
      </c>
      <c r="N8">
        <v>513.93799999999999</v>
      </c>
      <c r="O8">
        <v>0.45500000000000002</v>
      </c>
      <c r="P8">
        <v>0.16</v>
      </c>
      <c r="S8" s="3">
        <v>45953</v>
      </c>
    </row>
    <row r="9" spans="1:20" x14ac:dyDescent="0.25">
      <c r="A9">
        <v>4</v>
      </c>
      <c r="B9" t="s">
        <v>191</v>
      </c>
      <c r="D9">
        <v>-157.30699999999999</v>
      </c>
      <c r="E9">
        <v>76.096999999999994</v>
      </c>
      <c r="F9">
        <v>-130.44399999999999</v>
      </c>
      <c r="G9">
        <v>57.935000000000002</v>
      </c>
      <c r="H9">
        <v>-10.733000000000001</v>
      </c>
      <c r="I9">
        <v>5.6529999999999996</v>
      </c>
      <c r="J9">
        <v>0.19800000000000001</v>
      </c>
      <c r="K9">
        <v>1.0999999999999999E-2</v>
      </c>
      <c r="L9">
        <v>0.186</v>
      </c>
      <c r="M9">
        <v>0</v>
      </c>
      <c r="N9">
        <v>70.087999999999994</v>
      </c>
      <c r="O9">
        <v>0.185</v>
      </c>
      <c r="P9">
        <v>0.1172</v>
      </c>
      <c r="R9" t="s">
        <v>189</v>
      </c>
      <c r="S9" s="3">
        <v>45953</v>
      </c>
    </row>
    <row r="10" spans="1:20" x14ac:dyDescent="0.25">
      <c r="A10">
        <v>5</v>
      </c>
      <c r="B10" t="s">
        <v>192</v>
      </c>
      <c r="D10">
        <v>-65.649000000000001</v>
      </c>
      <c r="E10">
        <v>125.773</v>
      </c>
      <c r="F10">
        <v>-66.492000000000004</v>
      </c>
      <c r="G10">
        <v>82.808999999999997</v>
      </c>
      <c r="H10">
        <v>-4.9640000000000004</v>
      </c>
      <c r="I10">
        <v>8.6180000000000003</v>
      </c>
      <c r="J10">
        <v>0.14899999999999999</v>
      </c>
      <c r="K10">
        <v>1.0999999999999999E-2</v>
      </c>
      <c r="L10">
        <v>0.1142</v>
      </c>
      <c r="M10">
        <v>0</v>
      </c>
      <c r="N10">
        <v>57.01</v>
      </c>
      <c r="O10">
        <v>0.16300000000000001</v>
      </c>
      <c r="P10">
        <v>0.11749999999999999</v>
      </c>
      <c r="R10" t="s">
        <v>190</v>
      </c>
      <c r="S10" s="3">
        <v>45953</v>
      </c>
    </row>
    <row r="11" spans="1:20" x14ac:dyDescent="0.25">
      <c r="A11">
        <v>6</v>
      </c>
      <c r="B11" t="s">
        <v>193</v>
      </c>
      <c r="D11">
        <v>-59.613</v>
      </c>
      <c r="E11">
        <v>8.19</v>
      </c>
      <c r="F11">
        <v>-59.502000000000002</v>
      </c>
      <c r="G11">
        <v>4.7149999999999999</v>
      </c>
      <c r="H11">
        <v>-11.84</v>
      </c>
      <c r="I11">
        <v>3.0910000000000002</v>
      </c>
      <c r="J11">
        <v>2.3210000000000002</v>
      </c>
      <c r="K11">
        <v>1.4999999999999999E-2</v>
      </c>
      <c r="L11">
        <v>2.3290000000000002</v>
      </c>
      <c r="M11">
        <v>3.0000000000000001E-3</v>
      </c>
      <c r="N11">
        <v>136.98400000000001</v>
      </c>
      <c r="O11">
        <v>0.215</v>
      </c>
      <c r="P11">
        <v>0.17299999999999999</v>
      </c>
      <c r="R11" t="s">
        <v>189</v>
      </c>
      <c r="S11" s="3">
        <v>45953</v>
      </c>
    </row>
    <row r="12" spans="1:20" x14ac:dyDescent="0.25">
      <c r="A12">
        <v>7</v>
      </c>
      <c r="B12" t="s">
        <v>194</v>
      </c>
      <c r="D12">
        <v>-62.527000000000001</v>
      </c>
      <c r="E12">
        <v>3.0019999999999998</v>
      </c>
      <c r="F12">
        <v>-61.536999999999999</v>
      </c>
      <c r="G12">
        <v>2.2589999999999999</v>
      </c>
      <c r="H12">
        <v>-12.273</v>
      </c>
      <c r="I12">
        <v>2.4729999999999999</v>
      </c>
      <c r="J12">
        <v>5.1189999999999998</v>
      </c>
      <c r="K12">
        <v>1.4E-2</v>
      </c>
      <c r="L12">
        <v>5.1580000000000004</v>
      </c>
      <c r="M12">
        <v>6.0000000000000001E-3</v>
      </c>
      <c r="N12">
        <v>136.74199999999999</v>
      </c>
      <c r="O12">
        <v>0.16200000000000001</v>
      </c>
      <c r="P12">
        <v>0.48199999999999998</v>
      </c>
      <c r="R12" t="s">
        <v>189</v>
      </c>
      <c r="S12" s="3">
        <v>45953</v>
      </c>
    </row>
    <row r="13" spans="1:20" x14ac:dyDescent="0.25">
      <c r="A13">
        <v>8</v>
      </c>
      <c r="B13" t="s">
        <v>195</v>
      </c>
      <c r="D13">
        <v>-116.76600000000001</v>
      </c>
      <c r="E13">
        <v>102.613</v>
      </c>
      <c r="F13">
        <v>-113.508</v>
      </c>
      <c r="G13">
        <v>79.966999999999999</v>
      </c>
      <c r="H13">
        <v>-5.3419999999999996</v>
      </c>
      <c r="I13">
        <v>9.0090000000000003</v>
      </c>
      <c r="J13">
        <v>0.19</v>
      </c>
      <c r="K13">
        <v>1.2E-2</v>
      </c>
      <c r="L13">
        <v>0.184</v>
      </c>
      <c r="M13">
        <v>0</v>
      </c>
      <c r="N13">
        <v>44.761000000000003</v>
      </c>
      <c r="O13">
        <v>0.156</v>
      </c>
      <c r="P13">
        <v>0.20399999999999999</v>
      </c>
      <c r="R13" t="s">
        <v>189</v>
      </c>
      <c r="S13" s="3">
        <v>45953</v>
      </c>
    </row>
    <row r="14" spans="1:20" x14ac:dyDescent="0.25">
      <c r="A14">
        <v>9</v>
      </c>
      <c r="B14" t="s">
        <v>196</v>
      </c>
      <c r="D14">
        <v>-84.05</v>
      </c>
      <c r="E14">
        <v>31.297999999999998</v>
      </c>
      <c r="F14">
        <v>-74.802000000000007</v>
      </c>
      <c r="G14">
        <v>21.225000000000001</v>
      </c>
      <c r="H14">
        <v>-7.5490000000000004</v>
      </c>
      <c r="I14">
        <v>4.6050000000000004</v>
      </c>
      <c r="J14">
        <v>0.60599999999999998</v>
      </c>
      <c r="K14">
        <v>1.2E-2</v>
      </c>
      <c r="L14">
        <v>0.60299999999999998</v>
      </c>
      <c r="M14">
        <v>1E-3</v>
      </c>
      <c r="N14">
        <v>77.182000000000002</v>
      </c>
      <c r="O14">
        <v>0.156</v>
      </c>
      <c r="P14">
        <v>0.31900000000000001</v>
      </c>
      <c r="R14" t="s">
        <v>189</v>
      </c>
      <c r="S14" s="3">
        <v>45953</v>
      </c>
    </row>
    <row r="15" spans="1:20" x14ac:dyDescent="0.25">
      <c r="A15">
        <v>10</v>
      </c>
      <c r="B15" t="s">
        <v>197</v>
      </c>
      <c r="D15">
        <v>-94.911000000000001</v>
      </c>
      <c r="E15">
        <v>25.928999999999998</v>
      </c>
      <c r="F15">
        <v>-78.894000000000005</v>
      </c>
      <c r="G15">
        <v>22.460999999999999</v>
      </c>
      <c r="H15">
        <v>-8.3019999999999996</v>
      </c>
      <c r="I15">
        <v>0.50800000000000001</v>
      </c>
      <c r="J15">
        <v>0.53800000000000003</v>
      </c>
      <c r="K15">
        <v>1.0999999999999999E-2</v>
      </c>
      <c r="L15">
        <v>0.51900000000000002</v>
      </c>
      <c r="M15">
        <v>1E-3</v>
      </c>
      <c r="N15">
        <v>1914.9</v>
      </c>
      <c r="O15">
        <v>1.2030000000000001</v>
      </c>
      <c r="P15">
        <v>0.214</v>
      </c>
      <c r="R15" t="s">
        <v>199</v>
      </c>
      <c r="S15" s="3">
        <v>45953</v>
      </c>
    </row>
    <row r="16" spans="1:20" x14ac:dyDescent="0.25">
      <c r="A16">
        <v>11</v>
      </c>
      <c r="B16" t="s">
        <v>198</v>
      </c>
      <c r="D16">
        <v>-58.055</v>
      </c>
      <c r="E16">
        <v>45.593000000000004</v>
      </c>
      <c r="F16">
        <v>-74.790999999999997</v>
      </c>
      <c r="G16">
        <v>30.279</v>
      </c>
      <c r="H16">
        <v>-6.4210000000000003</v>
      </c>
      <c r="I16">
        <v>4.6390000000000002</v>
      </c>
      <c r="J16">
        <v>0.313</v>
      </c>
      <c r="K16">
        <v>0.01</v>
      </c>
      <c r="L16">
        <v>0.316</v>
      </c>
      <c r="M16">
        <v>1E-3</v>
      </c>
      <c r="N16">
        <v>80.593000000000004</v>
      </c>
      <c r="O16">
        <v>0.24099999999999999</v>
      </c>
      <c r="P16">
        <v>0.26300000000000001</v>
      </c>
      <c r="R16" t="s">
        <v>189</v>
      </c>
      <c r="S16" s="3">
        <v>45953</v>
      </c>
    </row>
    <row r="17" spans="1:19" x14ac:dyDescent="0.25">
      <c r="A17">
        <v>12</v>
      </c>
      <c r="B17" t="s">
        <v>200</v>
      </c>
      <c r="D17">
        <v>-75.924000000000007</v>
      </c>
      <c r="E17">
        <v>55.46</v>
      </c>
      <c r="F17">
        <v>-77.927999999999997</v>
      </c>
      <c r="G17">
        <v>33.405000000000001</v>
      </c>
      <c r="H17">
        <v>-6.6879999999999997</v>
      </c>
      <c r="I17">
        <v>5.2270000000000003</v>
      </c>
      <c r="J17">
        <v>0.27700000000000002</v>
      </c>
      <c r="K17">
        <v>1.0999999999999999E-2</v>
      </c>
      <c r="L17">
        <v>0.27200000000000002</v>
      </c>
      <c r="M17">
        <v>0</v>
      </c>
      <c r="N17">
        <v>79.662999999999997</v>
      </c>
      <c r="O17">
        <v>0.20200000000000001</v>
      </c>
      <c r="P17">
        <v>0.186</v>
      </c>
      <c r="R17" t="s">
        <v>189</v>
      </c>
      <c r="S17" s="3">
        <v>45953</v>
      </c>
    </row>
    <row r="18" spans="1:19" x14ac:dyDescent="0.25">
      <c r="A18">
        <v>13</v>
      </c>
      <c r="B18" t="s">
        <v>201</v>
      </c>
      <c r="D18">
        <v>-75.421000000000006</v>
      </c>
      <c r="E18">
        <v>30.725000000000001</v>
      </c>
      <c r="F18">
        <v>-65.510999999999996</v>
      </c>
      <c r="G18">
        <v>18.739999999999998</v>
      </c>
      <c r="H18">
        <v>-8.9760000000000009</v>
      </c>
      <c r="I18">
        <v>1.982</v>
      </c>
      <c r="J18">
        <v>0.59299999999999997</v>
      </c>
      <c r="K18">
        <v>1.2E-2</v>
      </c>
      <c r="L18">
        <v>0.59</v>
      </c>
      <c r="M18">
        <v>1E-3</v>
      </c>
      <c r="N18">
        <v>200.14</v>
      </c>
      <c r="O18">
        <v>0.16400000000000001</v>
      </c>
      <c r="P18">
        <v>0.313</v>
      </c>
      <c r="R18" t="s">
        <v>202</v>
      </c>
      <c r="S18" s="3">
        <v>45953</v>
      </c>
    </row>
    <row r="19" spans="1:19" x14ac:dyDescent="0.25">
      <c r="A19">
        <v>14</v>
      </c>
      <c r="B19" t="s">
        <v>203</v>
      </c>
      <c r="D19">
        <v>-106.90600000000001</v>
      </c>
      <c r="E19">
        <v>63.2</v>
      </c>
      <c r="F19">
        <v>-103.22</v>
      </c>
      <c r="G19">
        <v>50.112000000000002</v>
      </c>
      <c r="H19">
        <v>-4.9669999999999996</v>
      </c>
      <c r="I19">
        <v>7.5590000000000002</v>
      </c>
      <c r="J19">
        <v>0.26800000000000002</v>
      </c>
      <c r="K19">
        <v>1.4E-2</v>
      </c>
      <c r="L19">
        <v>0.26</v>
      </c>
      <c r="M19">
        <v>0</v>
      </c>
      <c r="N19">
        <v>60.124000000000002</v>
      </c>
      <c r="O19">
        <v>0.16800000000000001</v>
      </c>
      <c r="P19">
        <v>0.161</v>
      </c>
      <c r="R19" t="s">
        <v>189</v>
      </c>
      <c r="S19" s="3">
        <v>45953</v>
      </c>
    </row>
    <row r="20" spans="1:19" x14ac:dyDescent="0.25">
      <c r="A20">
        <v>15</v>
      </c>
      <c r="B20" t="s">
        <v>204</v>
      </c>
      <c r="D20">
        <v>-58.011000000000003</v>
      </c>
      <c r="E20">
        <v>69.241</v>
      </c>
      <c r="F20">
        <v>-89.936999999999998</v>
      </c>
      <c r="G20">
        <v>49.292999999999999</v>
      </c>
      <c r="H20">
        <v>-7.673</v>
      </c>
      <c r="I20">
        <v>3.6669999999999998</v>
      </c>
      <c r="J20">
        <v>0.23799999999999999</v>
      </c>
      <c r="K20">
        <v>1.2E-2</v>
      </c>
      <c r="L20">
        <v>0.245</v>
      </c>
      <c r="M20">
        <v>0</v>
      </c>
      <c r="N20">
        <v>106.747</v>
      </c>
      <c r="O20">
        <v>0.20899999999999999</v>
      </c>
      <c r="P20">
        <v>0.28000000000000003</v>
      </c>
      <c r="R20" t="s">
        <v>208</v>
      </c>
      <c r="S20" s="3">
        <v>45953</v>
      </c>
    </row>
    <row r="21" spans="1:19" x14ac:dyDescent="0.25">
      <c r="A21">
        <v>16</v>
      </c>
      <c r="B21" t="s">
        <v>205</v>
      </c>
      <c r="D21">
        <v>-80.099999999999994</v>
      </c>
      <c r="E21">
        <v>17.016999999999999</v>
      </c>
      <c r="F21">
        <v>-68.86</v>
      </c>
      <c r="G21">
        <v>11.795999999999999</v>
      </c>
      <c r="H21">
        <v>-6.81</v>
      </c>
      <c r="I21">
        <v>6.6289999999999996</v>
      </c>
      <c r="J21">
        <v>0.83399999999999996</v>
      </c>
      <c r="K21">
        <v>1.2999999999999999E-2</v>
      </c>
      <c r="L21">
        <v>0.82199999999999995</v>
      </c>
      <c r="M21">
        <v>1E-3</v>
      </c>
      <c r="N21">
        <v>66.641999999999996</v>
      </c>
      <c r="O21">
        <v>0.17599999999999999</v>
      </c>
      <c r="P21">
        <v>0.16700000000000001</v>
      </c>
      <c r="R21" t="s">
        <v>202</v>
      </c>
      <c r="S21" s="3">
        <v>45953</v>
      </c>
    </row>
    <row r="22" spans="1:19" x14ac:dyDescent="0.25">
      <c r="A22">
        <v>18</v>
      </c>
      <c r="B22" t="s">
        <v>209</v>
      </c>
      <c r="D22">
        <v>-28.288</v>
      </c>
      <c r="E22">
        <v>136.916</v>
      </c>
      <c r="F22">
        <v>-86.134</v>
      </c>
      <c r="G22">
        <v>87.41</v>
      </c>
      <c r="H22">
        <v>7.0730000000000004</v>
      </c>
      <c r="I22">
        <v>9.4380000000000006</v>
      </c>
      <c r="J22">
        <v>0.152</v>
      </c>
      <c r="K22">
        <v>1.2E-2</v>
      </c>
      <c r="L22">
        <v>0.14499999999999999</v>
      </c>
      <c r="M22">
        <v>1E-3</v>
      </c>
      <c r="N22">
        <v>32.270000000000003</v>
      </c>
      <c r="O22">
        <v>0.16800000000000001</v>
      </c>
      <c r="P22">
        <v>2.3E-2</v>
      </c>
      <c r="R22" t="s">
        <v>210</v>
      </c>
      <c r="S22" s="3">
        <v>45953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41C1-6620-FE43-A38A-1DF79890AC99}">
  <dimension ref="A1:T41"/>
  <sheetViews>
    <sheetView workbookViewId="0">
      <selection sqref="A1:T1"/>
    </sheetView>
  </sheetViews>
  <sheetFormatPr defaultColWidth="11" defaultRowHeight="15.75" x14ac:dyDescent="0.25"/>
  <sheetData>
    <row r="1" spans="1:20" x14ac:dyDescent="0.25">
      <c r="A1" t="s">
        <v>0</v>
      </c>
      <c r="B1" t="s">
        <v>149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</v>
      </c>
      <c r="Q1" t="s">
        <v>18</v>
      </c>
      <c r="R1" t="s">
        <v>37</v>
      </c>
      <c r="S1" t="s">
        <v>42</v>
      </c>
      <c r="T1" t="s">
        <v>147</v>
      </c>
    </row>
    <row r="2" spans="1:20" x14ac:dyDescent="0.25">
      <c r="A2">
        <v>4</v>
      </c>
      <c r="B2" t="s">
        <v>48</v>
      </c>
      <c r="D2">
        <v>-41.904000000000003</v>
      </c>
      <c r="E2">
        <v>6.5720000000000001</v>
      </c>
      <c r="F2">
        <v>-45.611499999999999</v>
      </c>
      <c r="G2">
        <v>3.496</v>
      </c>
      <c r="H2">
        <v>-40.685000000000002</v>
      </c>
      <c r="I2">
        <v>0.96499999999999997</v>
      </c>
      <c r="J2">
        <v>2.9660000000000002</v>
      </c>
      <c r="K2">
        <v>1.6E-2</v>
      </c>
      <c r="L2">
        <v>2.9849999999999999</v>
      </c>
      <c r="M2">
        <v>2E-3</v>
      </c>
      <c r="N2">
        <v>488.06</v>
      </c>
      <c r="O2">
        <v>0.31900000000000001</v>
      </c>
      <c r="S2" s="3">
        <v>45936</v>
      </c>
    </row>
    <row r="3" spans="1:20" x14ac:dyDescent="0.25">
      <c r="A3">
        <v>5</v>
      </c>
      <c r="B3" t="s">
        <v>48</v>
      </c>
      <c r="D3">
        <v>-41.648000000000003</v>
      </c>
      <c r="E3">
        <v>5.9939999999999998</v>
      </c>
      <c r="F3">
        <v>-45.264000000000003</v>
      </c>
      <c r="G3">
        <v>3.4740000000000002</v>
      </c>
      <c r="H3">
        <v>-41.588000000000001</v>
      </c>
      <c r="I3">
        <v>1.014</v>
      </c>
      <c r="J3">
        <v>2.93</v>
      </c>
      <c r="K3">
        <v>3.2000000000000001E-2</v>
      </c>
      <c r="L3">
        <v>2.9470000000000001</v>
      </c>
      <c r="M3">
        <v>3.0000000000000001E-3</v>
      </c>
      <c r="N3">
        <v>476.62799999999999</v>
      </c>
      <c r="O3">
        <v>0.31900000000000001</v>
      </c>
      <c r="S3" s="3">
        <v>45936</v>
      </c>
    </row>
    <row r="4" spans="1:20" x14ac:dyDescent="0.25">
      <c r="A4">
        <v>6</v>
      </c>
      <c r="B4" t="s">
        <v>48</v>
      </c>
      <c r="D4">
        <v>-41.063000000000002</v>
      </c>
      <c r="E4">
        <v>6.76</v>
      </c>
      <c r="F4">
        <v>-45.116700000000002</v>
      </c>
      <c r="G4">
        <v>3.1619999999999999</v>
      </c>
      <c r="H4">
        <v>-41.295999999999999</v>
      </c>
      <c r="I4">
        <v>1.028</v>
      </c>
      <c r="J4">
        <v>2.927</v>
      </c>
      <c r="K4">
        <v>1.4999999999999999E-2</v>
      </c>
      <c r="L4">
        <v>2.9449999999999998</v>
      </c>
      <c r="M4">
        <v>3.0000000000000001E-3</v>
      </c>
      <c r="N4">
        <v>476.70699999999999</v>
      </c>
      <c r="O4">
        <v>0.34200000000000003</v>
      </c>
      <c r="S4" s="3">
        <v>45936</v>
      </c>
    </row>
    <row r="5" spans="1:20" x14ac:dyDescent="0.25">
      <c r="A5">
        <v>16</v>
      </c>
      <c r="B5" t="s">
        <v>48</v>
      </c>
      <c r="D5">
        <v>-39.923000000000002</v>
      </c>
      <c r="E5">
        <v>7.5380000000000003</v>
      </c>
      <c r="F5">
        <v>-43.898000000000003</v>
      </c>
      <c r="G5">
        <v>4.0369999999999999</v>
      </c>
      <c r="H5">
        <v>-41.405000000000001</v>
      </c>
      <c r="I5">
        <v>0.79500000000000004</v>
      </c>
      <c r="J5">
        <v>2.8109999999999999</v>
      </c>
      <c r="K5">
        <v>1.7999999999999999E-2</v>
      </c>
      <c r="L5">
        <v>2.8279999999999998</v>
      </c>
      <c r="M5">
        <v>3.0000000000000001E-3</v>
      </c>
      <c r="N5">
        <v>459.51299999999998</v>
      </c>
      <c r="O5">
        <v>0.33900000000000002</v>
      </c>
      <c r="S5" s="3">
        <v>45936</v>
      </c>
    </row>
    <row r="6" spans="1:20" x14ac:dyDescent="0.25">
      <c r="A6">
        <v>17</v>
      </c>
      <c r="B6" t="s">
        <v>48</v>
      </c>
      <c r="D6">
        <v>-41.662999999999997</v>
      </c>
      <c r="E6">
        <v>5.41</v>
      </c>
      <c r="F6">
        <v>-45.156999999999996</v>
      </c>
      <c r="G6">
        <v>4.149</v>
      </c>
      <c r="H6">
        <v>-41.171999999999997</v>
      </c>
      <c r="I6">
        <v>0.82399999999999995</v>
      </c>
      <c r="J6">
        <v>2.8620000000000001</v>
      </c>
      <c r="K6">
        <v>1.2E-2</v>
      </c>
      <c r="L6">
        <v>2.8780000000000001</v>
      </c>
      <c r="M6">
        <v>4.0000000000000001E-3</v>
      </c>
      <c r="N6">
        <v>469.50400000000002</v>
      </c>
      <c r="O6">
        <v>0.38500000000000001</v>
      </c>
      <c r="S6" s="3">
        <v>45936</v>
      </c>
    </row>
    <row r="7" spans="1:20" x14ac:dyDescent="0.25">
      <c r="A7">
        <v>3</v>
      </c>
      <c r="B7" t="s">
        <v>48</v>
      </c>
      <c r="D7">
        <v>-40.43</v>
      </c>
      <c r="E7">
        <v>6.4740000000000002</v>
      </c>
      <c r="F7">
        <v>-44.186999999999998</v>
      </c>
      <c r="G7">
        <v>4.3250000000000002</v>
      </c>
      <c r="H7">
        <v>-41.151000000000003</v>
      </c>
      <c r="I7">
        <v>1.0629999999999999</v>
      </c>
      <c r="J7">
        <v>2.871</v>
      </c>
      <c r="K7">
        <v>1.7000000000000001E-2</v>
      </c>
      <c r="L7">
        <v>2.891</v>
      </c>
      <c r="M7">
        <v>5.0000000000000001E-3</v>
      </c>
      <c r="N7">
        <v>487.43299999999999</v>
      </c>
      <c r="O7">
        <v>0.57999999999999996</v>
      </c>
      <c r="S7" s="3">
        <v>45937</v>
      </c>
    </row>
    <row r="8" spans="1:20" x14ac:dyDescent="0.25">
      <c r="A8">
        <v>11</v>
      </c>
      <c r="B8" t="s">
        <v>48</v>
      </c>
      <c r="D8">
        <v>-43.143000000000001</v>
      </c>
      <c r="E8">
        <v>6.66</v>
      </c>
      <c r="F8">
        <v>-45.210999999999999</v>
      </c>
      <c r="G8">
        <v>4.6459999999999999</v>
      </c>
      <c r="H8">
        <v>-41.06</v>
      </c>
      <c r="I8">
        <v>1.0569999999999999</v>
      </c>
      <c r="J8">
        <v>2.8</v>
      </c>
      <c r="K8">
        <v>1.4E-2</v>
      </c>
      <c r="L8">
        <v>2.8260000000000001</v>
      </c>
      <c r="M8">
        <v>4.0000000000000001E-3</v>
      </c>
      <c r="N8">
        <v>465.959</v>
      </c>
      <c r="O8">
        <v>0.437</v>
      </c>
      <c r="S8" s="3">
        <v>45937</v>
      </c>
    </row>
    <row r="9" spans="1:20" x14ac:dyDescent="0.25">
      <c r="A9" s="5">
        <v>5</v>
      </c>
      <c r="B9" s="5" t="s">
        <v>56</v>
      </c>
      <c r="C9" s="5"/>
      <c r="D9" s="5">
        <v>-51.813000000000002</v>
      </c>
      <c r="E9" s="5">
        <v>5.6669999999999998</v>
      </c>
      <c r="F9" s="5">
        <v>-50.554000000000002</v>
      </c>
      <c r="G9" s="5">
        <v>4.3</v>
      </c>
      <c r="H9" s="5">
        <v>-38.731999999999999</v>
      </c>
      <c r="I9" s="5">
        <v>0.76700000000000002</v>
      </c>
      <c r="J9" s="5">
        <v>2.8113000000000001</v>
      </c>
      <c r="K9" s="5">
        <v>1.4999999999999999E-2</v>
      </c>
      <c r="L9" s="5">
        <v>2.8239999999999998</v>
      </c>
      <c r="M9" s="5">
        <v>5.0000000000000001E-3</v>
      </c>
      <c r="N9" s="5">
        <v>476.38600000000002</v>
      </c>
      <c r="O9" s="5"/>
      <c r="R9" t="s">
        <v>76</v>
      </c>
      <c r="S9" s="6">
        <v>45938</v>
      </c>
    </row>
    <row r="10" spans="1:20" x14ac:dyDescent="0.25">
      <c r="A10">
        <v>13</v>
      </c>
      <c r="B10" t="s">
        <v>48</v>
      </c>
      <c r="D10">
        <v>-40.259</v>
      </c>
      <c r="E10">
        <v>6.9870000000000001</v>
      </c>
      <c r="F10">
        <v>-44.476999999999997</v>
      </c>
      <c r="G10">
        <v>3.879</v>
      </c>
      <c r="H10">
        <v>-41.323</v>
      </c>
      <c r="I10">
        <v>0.85399999999999998</v>
      </c>
      <c r="J10">
        <v>3.0089999999999999</v>
      </c>
      <c r="K10">
        <v>1.6E-2</v>
      </c>
      <c r="L10">
        <v>3.0289999999999999</v>
      </c>
      <c r="M10">
        <v>4.0000000000000001E-3</v>
      </c>
      <c r="N10">
        <v>481.99</v>
      </c>
      <c r="S10" s="3">
        <v>45938</v>
      </c>
    </row>
    <row r="11" spans="1:20" x14ac:dyDescent="0.25">
      <c r="A11">
        <v>14</v>
      </c>
      <c r="B11" t="s">
        <v>64</v>
      </c>
      <c r="D11">
        <v>-42.265000000000001</v>
      </c>
      <c r="E11">
        <v>6.9390000000000001</v>
      </c>
      <c r="F11">
        <v>-44.798000000000002</v>
      </c>
      <c r="G11">
        <v>3.8759999999999999</v>
      </c>
      <c r="H11">
        <v>-39.738999999999997</v>
      </c>
      <c r="I11">
        <v>0.97299999999999998</v>
      </c>
      <c r="J11">
        <v>2.9420000000000002</v>
      </c>
      <c r="K11">
        <v>1.9E-2</v>
      </c>
      <c r="L11">
        <v>2.97</v>
      </c>
      <c r="M11">
        <v>4.0000000000000001E-3</v>
      </c>
      <c r="N11">
        <v>480.58300000000003</v>
      </c>
      <c r="S11" s="3">
        <v>45938</v>
      </c>
    </row>
    <row r="12" spans="1:20" x14ac:dyDescent="0.25">
      <c r="A12">
        <v>3</v>
      </c>
      <c r="B12" t="s">
        <v>48</v>
      </c>
      <c r="D12">
        <v>-41.79</v>
      </c>
      <c r="E12">
        <v>5.65</v>
      </c>
      <c r="F12">
        <v>-44.177999999999997</v>
      </c>
      <c r="G12">
        <v>3.3610000000000002</v>
      </c>
      <c r="H12">
        <v>-41.893000000000001</v>
      </c>
      <c r="I12">
        <v>0.10589999999999999</v>
      </c>
      <c r="J12">
        <v>2.8849999999999998</v>
      </c>
      <c r="K12">
        <v>1.6E-2</v>
      </c>
      <c r="L12">
        <v>2.8980000000000001</v>
      </c>
      <c r="M12">
        <v>4.0000000000000001E-3</v>
      </c>
      <c r="N12">
        <v>470.71</v>
      </c>
      <c r="O12">
        <v>0.36799999999999999</v>
      </c>
      <c r="S12" s="3">
        <v>45939</v>
      </c>
    </row>
    <row r="13" spans="1:20" x14ac:dyDescent="0.25">
      <c r="A13">
        <v>2</v>
      </c>
      <c r="B13" t="s">
        <v>48</v>
      </c>
      <c r="D13">
        <v>-40.274999999999999</v>
      </c>
      <c r="E13">
        <v>5.4059999999999997</v>
      </c>
      <c r="F13">
        <v>-44.648000000000003</v>
      </c>
      <c r="G13">
        <v>4.4420000000000002</v>
      </c>
      <c r="H13">
        <v>-39.695999999999998</v>
      </c>
      <c r="I13">
        <v>1.048</v>
      </c>
      <c r="J13">
        <v>2.8090000000000002</v>
      </c>
      <c r="K13">
        <v>1.2999999999999999E-2</v>
      </c>
      <c r="L13">
        <v>2.8260000000000001</v>
      </c>
      <c r="M13">
        <v>4.0000000000000001E-3</v>
      </c>
      <c r="N13">
        <v>469.43099999999998</v>
      </c>
      <c r="O13">
        <v>0.29899999999999999</v>
      </c>
      <c r="S13" s="3">
        <v>45940</v>
      </c>
    </row>
    <row r="14" spans="1:20" x14ac:dyDescent="0.25">
      <c r="A14">
        <v>5</v>
      </c>
      <c r="B14" t="s">
        <v>48</v>
      </c>
      <c r="D14">
        <v>-42.427999999999997</v>
      </c>
      <c r="E14">
        <v>6.3940000000000001</v>
      </c>
      <c r="F14">
        <v>-45.015999999999998</v>
      </c>
      <c r="G14">
        <v>4.4909999999999997</v>
      </c>
      <c r="H14">
        <v>-39.390999999999998</v>
      </c>
      <c r="I14">
        <v>1.1779999999999999</v>
      </c>
      <c r="J14">
        <v>2.8029999999999999</v>
      </c>
      <c r="K14">
        <v>1.2E-2</v>
      </c>
      <c r="L14">
        <v>2.8140000000000001</v>
      </c>
      <c r="M14">
        <v>4.0000000000000001E-3</v>
      </c>
      <c r="N14">
        <v>466.91300000000001</v>
      </c>
      <c r="O14">
        <v>0.41099999999999998</v>
      </c>
      <c r="S14" s="3">
        <v>45940</v>
      </c>
    </row>
    <row r="15" spans="1:20" x14ac:dyDescent="0.25">
      <c r="A15">
        <v>12</v>
      </c>
      <c r="B15" t="s">
        <v>64</v>
      </c>
      <c r="D15">
        <v>-39.743000000000002</v>
      </c>
      <c r="E15">
        <v>5.5529999999999999</v>
      </c>
      <c r="F15">
        <v>-43.604999999999997</v>
      </c>
      <c r="G15">
        <v>4.4240000000000004</v>
      </c>
      <c r="H15">
        <v>-37.344999999999999</v>
      </c>
      <c r="I15">
        <v>0.95499999999999996</v>
      </c>
      <c r="J15">
        <v>2.9569999999999999</v>
      </c>
      <c r="K15">
        <v>1.4999999999999999E-2</v>
      </c>
      <c r="L15">
        <v>2.9940000000000002</v>
      </c>
      <c r="M15">
        <v>3.0000000000000001E-3</v>
      </c>
      <c r="N15">
        <v>484.09100000000001</v>
      </c>
      <c r="O15">
        <v>0.53700000000000003</v>
      </c>
      <c r="S15" s="3">
        <v>45940</v>
      </c>
    </row>
    <row r="16" spans="1:20" x14ac:dyDescent="0.25">
      <c r="A16">
        <v>4</v>
      </c>
      <c r="B16" t="s">
        <v>48</v>
      </c>
      <c r="D16">
        <v>-43.118099999999998</v>
      </c>
      <c r="E16">
        <v>6.5330000000000004</v>
      </c>
      <c r="F16">
        <v>-45.326999999999998</v>
      </c>
      <c r="G16">
        <v>4.0679999999999996</v>
      </c>
      <c r="H16">
        <v>-42.091099999999997</v>
      </c>
      <c r="I16">
        <v>1.2869999999999999</v>
      </c>
      <c r="J16">
        <v>2.8010000000000002</v>
      </c>
      <c r="K16">
        <v>1.4E-2</v>
      </c>
      <c r="L16">
        <v>2.8140000000000001</v>
      </c>
      <c r="M16">
        <v>4.0000000000000001E-3</v>
      </c>
      <c r="N16">
        <v>460.34800000000001</v>
      </c>
      <c r="O16">
        <v>0.36599999999999999</v>
      </c>
      <c r="S16" s="3">
        <v>45943</v>
      </c>
    </row>
    <row r="17" spans="1:19" x14ac:dyDescent="0.25">
      <c r="A17">
        <v>17</v>
      </c>
      <c r="B17" t="s">
        <v>64</v>
      </c>
      <c r="D17">
        <v>-47.926000000000002</v>
      </c>
      <c r="E17">
        <v>5.9850000000000003</v>
      </c>
      <c r="F17">
        <v>-46.552</v>
      </c>
      <c r="G17">
        <v>3.5569999999999999</v>
      </c>
      <c r="H17">
        <v>-37.281999999999996</v>
      </c>
      <c r="I17">
        <v>0.995</v>
      </c>
      <c r="J17">
        <v>3.2970000000000002</v>
      </c>
      <c r="K17">
        <v>1.4999999999999999E-2</v>
      </c>
      <c r="L17">
        <v>3.331</v>
      </c>
      <c r="M17">
        <v>4.0000000000000001E-3</v>
      </c>
      <c r="N17">
        <v>464.73200000000003</v>
      </c>
      <c r="O17">
        <v>0.42599999999999999</v>
      </c>
      <c r="S17" s="3">
        <v>45943</v>
      </c>
    </row>
    <row r="18" spans="1:19" x14ac:dyDescent="0.25">
      <c r="A18">
        <v>8</v>
      </c>
      <c r="B18" t="s">
        <v>48</v>
      </c>
      <c r="D18">
        <v>-42.154000000000003</v>
      </c>
      <c r="E18">
        <v>6.5759999999999996</v>
      </c>
      <c r="F18">
        <v>-44.841000000000001</v>
      </c>
      <c r="G18">
        <v>4.1760000000000002</v>
      </c>
      <c r="H18">
        <v>-42.087000000000003</v>
      </c>
      <c r="I18">
        <v>1.113</v>
      </c>
      <c r="J18">
        <v>2.8769999999999998</v>
      </c>
      <c r="K18">
        <v>1.4999999999999999E-2</v>
      </c>
      <c r="L18">
        <v>2.89</v>
      </c>
      <c r="M18">
        <v>4.0000000000000001E-3</v>
      </c>
      <c r="N18">
        <v>467.69400000000002</v>
      </c>
      <c r="O18">
        <v>0.377</v>
      </c>
      <c r="S18" s="3">
        <v>45944</v>
      </c>
    </row>
    <row r="19" spans="1:19" x14ac:dyDescent="0.25">
      <c r="A19">
        <v>9</v>
      </c>
      <c r="B19" t="s">
        <v>114</v>
      </c>
      <c r="D19">
        <v>-41.546999999999997</v>
      </c>
      <c r="E19">
        <v>4.5579999999999998</v>
      </c>
      <c r="F19">
        <v>-44.665999999999997</v>
      </c>
      <c r="G19">
        <v>3.3860000000000001</v>
      </c>
      <c r="H19">
        <v>-41.686</v>
      </c>
      <c r="I19">
        <v>0.86799999999999999</v>
      </c>
      <c r="J19">
        <v>2.8660000000000001</v>
      </c>
      <c r="K19">
        <v>1.2E-2</v>
      </c>
      <c r="L19">
        <v>2.88</v>
      </c>
      <c r="M19">
        <v>4.0000000000000001E-3</v>
      </c>
      <c r="N19">
        <v>470.06900000000002</v>
      </c>
      <c r="O19">
        <v>0.35599999999999998</v>
      </c>
      <c r="S19" s="3">
        <v>45944</v>
      </c>
    </row>
    <row r="20" spans="1:19" x14ac:dyDescent="0.25">
      <c r="A20">
        <v>10</v>
      </c>
      <c r="B20" t="s">
        <v>114</v>
      </c>
      <c r="D20">
        <v>-44.222999999999999</v>
      </c>
      <c r="E20">
        <v>5.8929999999999998</v>
      </c>
      <c r="F20">
        <v>-45.576000000000001</v>
      </c>
      <c r="G20">
        <v>4.093</v>
      </c>
      <c r="H20">
        <v>-42.164000000000001</v>
      </c>
      <c r="I20">
        <v>1.103</v>
      </c>
      <c r="J20">
        <v>2.86</v>
      </c>
      <c r="K20">
        <v>1.2E-2</v>
      </c>
      <c r="L20">
        <v>2.87</v>
      </c>
      <c r="M20">
        <v>5.0000000000000001E-3</v>
      </c>
      <c r="N20">
        <v>467.721</v>
      </c>
      <c r="O20">
        <v>0.378</v>
      </c>
      <c r="S20" s="3">
        <v>45944</v>
      </c>
    </row>
    <row r="21" spans="1:19" x14ac:dyDescent="0.25">
      <c r="A21">
        <v>17</v>
      </c>
      <c r="B21" t="s">
        <v>64</v>
      </c>
      <c r="D21">
        <v>-45.372999999999998</v>
      </c>
      <c r="E21">
        <v>6.6529999999999996</v>
      </c>
      <c r="F21">
        <v>-45.84</v>
      </c>
      <c r="G21">
        <v>4.4459999999999997</v>
      </c>
      <c r="H21">
        <v>-39.414999999999999</v>
      </c>
      <c r="I21">
        <v>1.0660000000000001</v>
      </c>
      <c r="J21">
        <v>2.8220000000000001</v>
      </c>
      <c r="K21">
        <v>1.4999999999999999E-2</v>
      </c>
      <c r="L21">
        <v>2.8460000000000001</v>
      </c>
      <c r="M21">
        <v>3.0000000000000001E-3</v>
      </c>
      <c r="N21">
        <v>472.63400000000001</v>
      </c>
      <c r="O21">
        <v>0.36899999999999999</v>
      </c>
      <c r="S21" s="3">
        <v>45944</v>
      </c>
    </row>
    <row r="22" spans="1:19" x14ac:dyDescent="0.25">
      <c r="A22">
        <v>2</v>
      </c>
      <c r="B22" t="s">
        <v>48</v>
      </c>
      <c r="D22">
        <v>-42.174999999999997</v>
      </c>
      <c r="E22">
        <v>5.4669999999999996</v>
      </c>
      <c r="F22">
        <v>-45.139000000000003</v>
      </c>
      <c r="G22">
        <v>4.1879999999999997</v>
      </c>
      <c r="H22">
        <v>-40.68</v>
      </c>
      <c r="I22">
        <v>0.88100000000000001</v>
      </c>
      <c r="J22">
        <v>2.75</v>
      </c>
      <c r="K22">
        <v>1.4E-2</v>
      </c>
      <c r="L22">
        <v>2.7639999999999998</v>
      </c>
      <c r="M22">
        <v>3.0000000000000001E-3</v>
      </c>
      <c r="N22">
        <v>475.45800000000003</v>
      </c>
      <c r="O22">
        <v>0.41</v>
      </c>
      <c r="S22" s="3">
        <v>45945</v>
      </c>
    </row>
    <row r="23" spans="1:19" x14ac:dyDescent="0.25">
      <c r="A23">
        <v>9</v>
      </c>
      <c r="B23" t="s">
        <v>56</v>
      </c>
      <c r="D23">
        <v>-46.648000000000003</v>
      </c>
      <c r="E23">
        <v>5.141</v>
      </c>
      <c r="F23">
        <v>-46.558</v>
      </c>
      <c r="G23">
        <v>2.9910000000000001</v>
      </c>
      <c r="H23">
        <v>-40.006999999999998</v>
      </c>
      <c r="I23">
        <v>0.93400000000000005</v>
      </c>
      <c r="J23">
        <v>2.871</v>
      </c>
      <c r="K23">
        <v>1.2999999999999999E-2</v>
      </c>
      <c r="L23">
        <v>2.8820000000000001</v>
      </c>
      <c r="M23">
        <v>3.0000000000000001E-3</v>
      </c>
      <c r="N23">
        <v>477.637</v>
      </c>
      <c r="O23">
        <v>0.39900000000000002</v>
      </c>
      <c r="S23" s="3">
        <v>45945</v>
      </c>
    </row>
    <row r="24" spans="1:19" x14ac:dyDescent="0.25">
      <c r="A24">
        <v>4</v>
      </c>
      <c r="B24" t="s">
        <v>48</v>
      </c>
      <c r="D24">
        <v>-41.134999999999998</v>
      </c>
      <c r="E24">
        <v>5.74</v>
      </c>
      <c r="F24">
        <v>-43.241</v>
      </c>
      <c r="G24">
        <v>3.3559999999999999</v>
      </c>
      <c r="H24">
        <v>-41.194000000000003</v>
      </c>
      <c r="I24">
        <v>0.996</v>
      </c>
      <c r="J24">
        <v>2.887</v>
      </c>
      <c r="K24">
        <v>1.6E-2</v>
      </c>
      <c r="L24">
        <v>2.8969999999999998</v>
      </c>
      <c r="M24">
        <v>3.0000000000000001E-3</v>
      </c>
      <c r="N24">
        <v>539.95399999999995</v>
      </c>
      <c r="O24">
        <v>0.38500000000000001</v>
      </c>
      <c r="S24" s="3">
        <v>45946</v>
      </c>
    </row>
    <row r="25" spans="1:19" x14ac:dyDescent="0.25">
      <c r="A25">
        <v>13</v>
      </c>
      <c r="B25" t="s">
        <v>64</v>
      </c>
      <c r="D25">
        <v>-47.365000000000002</v>
      </c>
      <c r="E25">
        <v>7.1870000000000003</v>
      </c>
      <c r="F25">
        <v>-46.378999999999998</v>
      </c>
      <c r="G25">
        <v>3.7410000000000001</v>
      </c>
      <c r="H25">
        <v>-38.613</v>
      </c>
      <c r="I25">
        <v>0.82299999999999995</v>
      </c>
      <c r="J25">
        <v>2.8170000000000002</v>
      </c>
      <c r="K25">
        <v>1.7999999999999999E-2</v>
      </c>
      <c r="L25">
        <v>2.8420000000000001</v>
      </c>
      <c r="M25">
        <v>4.0000000000000001E-3</v>
      </c>
      <c r="N25">
        <v>464.36599999999999</v>
      </c>
      <c r="O25">
        <v>0.40899999999999997</v>
      </c>
      <c r="S25" s="3">
        <v>45946</v>
      </c>
    </row>
    <row r="26" spans="1:19" x14ac:dyDescent="0.25">
      <c r="A26">
        <v>2</v>
      </c>
      <c r="B26" t="s">
        <v>48</v>
      </c>
      <c r="D26">
        <v>-41.433</v>
      </c>
      <c r="E26">
        <v>5.8879999999999999</v>
      </c>
      <c r="F26">
        <v>-44.09</v>
      </c>
      <c r="G26">
        <v>3.5720000000000001</v>
      </c>
      <c r="H26">
        <v>-40.549999999999997</v>
      </c>
      <c r="I26">
        <v>0.91900000000000004</v>
      </c>
      <c r="J26">
        <v>2.8420000000000001</v>
      </c>
      <c r="K26">
        <v>1.4999999999999999E-2</v>
      </c>
      <c r="L26">
        <v>2.8540000000000001</v>
      </c>
      <c r="M26">
        <v>3.0000000000000001E-3</v>
      </c>
      <c r="N26">
        <v>483.61799999999999</v>
      </c>
      <c r="O26">
        <v>0.40899999999999997</v>
      </c>
      <c r="S26" s="3">
        <v>45947</v>
      </c>
    </row>
    <row r="27" spans="1:19" x14ac:dyDescent="0.25">
      <c r="A27">
        <v>3</v>
      </c>
      <c r="B27" t="s">
        <v>64</v>
      </c>
      <c r="D27">
        <v>-44.151000000000003</v>
      </c>
      <c r="E27">
        <v>5.9130000000000003</v>
      </c>
      <c r="F27">
        <v>-45.100999999999999</v>
      </c>
      <c r="G27">
        <v>4.08</v>
      </c>
      <c r="H27">
        <v>-38.933999999999997</v>
      </c>
      <c r="I27">
        <v>1.036</v>
      </c>
      <c r="J27">
        <v>2.8359999999999999</v>
      </c>
      <c r="K27">
        <v>1.6E-2</v>
      </c>
      <c r="L27">
        <v>2.8519999999999999</v>
      </c>
      <c r="M27">
        <v>4.0000000000000001E-3</v>
      </c>
      <c r="N27">
        <v>463.46499999999997</v>
      </c>
      <c r="O27">
        <v>0.41399999999999998</v>
      </c>
      <c r="S27" s="3">
        <v>45947</v>
      </c>
    </row>
    <row r="28" spans="1:19" x14ac:dyDescent="0.25">
      <c r="A28">
        <v>4</v>
      </c>
      <c r="B28" t="s">
        <v>49</v>
      </c>
      <c r="D28">
        <v>-51.136000000000003</v>
      </c>
      <c r="E28">
        <v>6.4379999999999997</v>
      </c>
      <c r="F28">
        <v>-49.503999999999998</v>
      </c>
      <c r="G28">
        <v>4.0270000000000001</v>
      </c>
      <c r="H28">
        <v>-38.777000000000001</v>
      </c>
      <c r="I28">
        <v>0.96899999999999997</v>
      </c>
      <c r="J28">
        <v>2.9039999999999999</v>
      </c>
      <c r="K28">
        <v>1.4E-2</v>
      </c>
      <c r="L28">
        <v>2.915</v>
      </c>
      <c r="M28">
        <v>3.0000000000000001E-3</v>
      </c>
      <c r="N28">
        <v>478.24</v>
      </c>
      <c r="O28">
        <v>0.34699999999999998</v>
      </c>
      <c r="S28" s="3">
        <v>45947</v>
      </c>
    </row>
    <row r="29" spans="1:19" x14ac:dyDescent="0.25">
      <c r="A29">
        <v>5</v>
      </c>
      <c r="B29" t="s">
        <v>49</v>
      </c>
      <c r="D29">
        <v>-47.515999999999998</v>
      </c>
      <c r="E29">
        <v>5.2220000000000004</v>
      </c>
      <c r="F29">
        <v>-47.441000000000003</v>
      </c>
      <c r="G29">
        <v>3.3149999999999999</v>
      </c>
      <c r="H29">
        <v>-33.122</v>
      </c>
      <c r="I29">
        <v>0.98399999999999999</v>
      </c>
      <c r="J29">
        <v>3.5670000000000002</v>
      </c>
      <c r="K29">
        <v>1.4999999999999999E-2</v>
      </c>
      <c r="L29">
        <v>3.5920000000000001</v>
      </c>
      <c r="M29">
        <v>3.0000000000000001E-3</v>
      </c>
      <c r="N29">
        <v>473.58300000000003</v>
      </c>
      <c r="O29">
        <v>0.36799999999999999</v>
      </c>
      <c r="S29" s="3">
        <v>45947</v>
      </c>
    </row>
    <row r="30" spans="1:19" x14ac:dyDescent="0.25">
      <c r="A30">
        <v>2</v>
      </c>
      <c r="B30" t="s">
        <v>48</v>
      </c>
      <c r="D30">
        <v>-42.17</v>
      </c>
      <c r="E30">
        <v>5.8289999999999997</v>
      </c>
      <c r="F30">
        <v>-44.404000000000003</v>
      </c>
      <c r="G30">
        <v>3.6760000000000002</v>
      </c>
      <c r="H30">
        <v>-40.920999999999999</v>
      </c>
      <c r="I30">
        <v>1.069</v>
      </c>
      <c r="J30">
        <v>2.8159999999999998</v>
      </c>
      <c r="K30">
        <v>1.7000000000000001E-2</v>
      </c>
      <c r="L30">
        <v>2.8279999999999998</v>
      </c>
      <c r="M30">
        <v>4.0000000000000001E-3</v>
      </c>
      <c r="N30">
        <v>450.31099999999998</v>
      </c>
      <c r="O30">
        <v>0.42399999999999999</v>
      </c>
      <c r="P30">
        <v>4.3999999999999997E-2</v>
      </c>
      <c r="S30" s="3">
        <v>45951</v>
      </c>
    </row>
    <row r="31" spans="1:19" x14ac:dyDescent="0.25">
      <c r="A31">
        <v>2</v>
      </c>
      <c r="B31" t="s">
        <v>48</v>
      </c>
      <c r="D31">
        <v>-41.634</v>
      </c>
      <c r="E31">
        <v>7.391</v>
      </c>
      <c r="F31">
        <v>-45.180999999999997</v>
      </c>
      <c r="G31">
        <v>4.391</v>
      </c>
      <c r="H31">
        <v>-41.012</v>
      </c>
      <c r="I31">
        <v>0.83</v>
      </c>
      <c r="J31">
        <v>2.8290000000000002</v>
      </c>
      <c r="K31">
        <v>1.7999999999999999E-2</v>
      </c>
      <c r="L31">
        <v>2.8450000000000002</v>
      </c>
      <c r="M31">
        <v>4.0000000000000001E-3</v>
      </c>
      <c r="N31">
        <v>464.05500000000001</v>
      </c>
      <c r="O31">
        <v>0.4</v>
      </c>
      <c r="P31">
        <v>0.04</v>
      </c>
      <c r="S31" s="3">
        <v>45952</v>
      </c>
    </row>
    <row r="32" spans="1:19" x14ac:dyDescent="0.25">
      <c r="A32">
        <v>2</v>
      </c>
      <c r="B32" t="s">
        <v>48</v>
      </c>
      <c r="D32">
        <v>-40.695</v>
      </c>
      <c r="E32">
        <v>6.7910000000000004</v>
      </c>
      <c r="F32">
        <v>-43.329000000000001</v>
      </c>
      <c r="G32">
        <v>4.0129999999999999</v>
      </c>
      <c r="H32">
        <v>-41.875</v>
      </c>
      <c r="I32">
        <v>0.81200000000000006</v>
      </c>
      <c r="J32">
        <v>2.859</v>
      </c>
      <c r="K32">
        <v>1.6E-2</v>
      </c>
      <c r="L32">
        <v>2.8730000000000002</v>
      </c>
      <c r="M32">
        <v>3.0000000000000001E-3</v>
      </c>
      <c r="N32">
        <v>467.68400000000003</v>
      </c>
      <c r="O32">
        <v>0.32300000000000001</v>
      </c>
      <c r="P32">
        <v>3.9E-2</v>
      </c>
      <c r="S32" s="3">
        <v>45953</v>
      </c>
    </row>
    <row r="41" spans="7:15" x14ac:dyDescent="0.25">
      <c r="G41" s="4"/>
      <c r="I41" s="4"/>
      <c r="M41" s="4"/>
      <c r="O4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0b3d3-da6f-4cc0-9b0a-d28e3c3fee85" xsi:nil="true"/>
    <lcf76f155ced4ddcb4097134ff3c332f xmlns="197a642d-72bf-4c2b-8184-f8ce7eabee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EFF592B4F10469AF19E4A2742E1DA" ma:contentTypeVersion="15" ma:contentTypeDescription="Create a new document." ma:contentTypeScope="" ma:versionID="d08e292d5523e28f746ab73eeac4dc29">
  <xsd:schema xmlns:xsd="http://www.w3.org/2001/XMLSchema" xmlns:xs="http://www.w3.org/2001/XMLSchema" xmlns:p="http://schemas.microsoft.com/office/2006/metadata/properties" xmlns:ns2="197a642d-72bf-4c2b-8184-f8ce7eabee96" xmlns:ns3="2db0b3d3-da6f-4cc0-9b0a-d28e3c3fee85" targetNamespace="http://schemas.microsoft.com/office/2006/metadata/properties" ma:root="true" ma:fieldsID="bf7ad69517c776b08aa9144ccf41b9a2" ns2:_="" ns3:_="">
    <xsd:import namespace="197a642d-72bf-4c2b-8184-f8ce7eabee96"/>
    <xsd:import namespace="2db0b3d3-da6f-4cc0-9b0a-d28e3c3fee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a642d-72bf-4c2b-8184-f8ce7eabee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f4328e7-28b0-429a-9513-f28d67f53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0b3d3-da6f-4cc0-9b0a-d28e3c3fee8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76be5b0-c55a-4756-aec3-164eb1e21d09}" ma:internalName="TaxCatchAll" ma:showField="CatchAllData" ma:web="2db0b3d3-da6f-4cc0-9b0a-d28e3c3fee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32B317-2426-4FFD-8724-4C60FF987FDD}">
  <ds:schemaRefs>
    <ds:schemaRef ds:uri="http://schemas.microsoft.com/office/2006/metadata/properties"/>
    <ds:schemaRef ds:uri="http://schemas.microsoft.com/office/infopath/2007/PartnerControls"/>
    <ds:schemaRef ds:uri="2db0b3d3-da6f-4cc0-9b0a-d28e3c3fee85"/>
    <ds:schemaRef ds:uri="197a642d-72bf-4c2b-8184-f8ce7eabee96"/>
  </ds:schemaRefs>
</ds:datastoreItem>
</file>

<file path=customXml/itemProps2.xml><?xml version="1.0" encoding="utf-8"?>
<ds:datastoreItem xmlns:ds="http://schemas.openxmlformats.org/officeDocument/2006/customXml" ds:itemID="{C8397EF9-ADAA-4F26-83DE-4E9306144B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F83835-E554-4A0F-BFEF-B07E3F7121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7a642d-72bf-4c2b-8184-f8ce7eabee96"/>
    <ds:schemaRef ds:uri="2db0b3d3-da6f-4cc0-9b0a-d28e3c3fee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Oct 6, 2025</vt:lpstr>
      <vt:lpstr>Oct 7, 2025</vt:lpstr>
      <vt:lpstr>Oct 8, 2025</vt:lpstr>
      <vt:lpstr>Oct 9, 2025</vt:lpstr>
      <vt:lpstr>Oct 10, 2025</vt:lpstr>
      <vt:lpstr>Oct 13, 2025</vt:lpstr>
      <vt:lpstr>Oct 14, 2025</vt:lpstr>
      <vt:lpstr>Oct 15, 2025</vt:lpstr>
      <vt:lpstr>Oct 16, 2025</vt:lpstr>
      <vt:lpstr>Oct 17, 2025</vt:lpstr>
      <vt:lpstr>Oct 21, 2025</vt:lpstr>
      <vt:lpstr>Oct 22, 2025</vt:lpstr>
      <vt:lpstr>Oct 23, 2025</vt:lpstr>
      <vt:lpstr>DataComp</vt:lpstr>
      <vt:lpstr>ESFrerun</vt:lpstr>
      <vt:lpstr>TestComp</vt:lpstr>
      <vt:lpstr>HeadSpace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T. Uveges</dc:creator>
  <cp:lastModifiedBy>Erin Hassett</cp:lastModifiedBy>
  <dcterms:created xsi:type="dcterms:W3CDTF">2025-10-06T14:58:50Z</dcterms:created>
  <dcterms:modified xsi:type="dcterms:W3CDTF">2026-02-02T15:59:44Z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0x01010021CEFF592B4F10469AF19E4A2742E1DA</vt:lpwstr>
  </property>
</Properties>
</file>